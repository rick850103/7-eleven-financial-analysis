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tables/table4.xml" ContentType="application/vnd.openxmlformats-officedocument.spreadsheetml.table+xml"/>
  <Override PartName="/xl/queryTables/queryTable5.xml" ContentType="application/vnd.openxmlformats-officedocument.spreadsheetml.queryTable+xml"/>
  <Override PartName="/xl/tables/table5.xml" ContentType="application/vnd.openxmlformats-officedocument.spreadsheetml.table+xml"/>
  <Override PartName="/xl/queryTables/queryTable6.xml" ContentType="application/vnd.openxmlformats-officedocument.spreadsheetml.queryTable+xml"/>
  <Override PartName="/xl/tables/table6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ick8\Desktop\財務數據分析專案\"/>
    </mc:Choice>
  </mc:AlternateContent>
  <xr:revisionPtr revIDLastSave="0" documentId="8_{CA3B7DB2-B797-4D5E-B97A-14500D52AE2F}" xr6:coauthVersionLast="47" xr6:coauthVersionMax="47" xr10:uidLastSave="{00000000-0000-0000-0000-000000000000}"/>
  <bookViews>
    <workbookView xWindow="-120" yWindow="-120" windowWidth="29040" windowHeight="15720" tabRatio="882" xr2:uid="{505FD4AD-B273-452C-990F-D113B9A6D5AC}"/>
  </bookViews>
  <sheets>
    <sheet name="綜合損益表" sheetId="2" r:id="rId1"/>
    <sheet name="資產負債表" sheetId="3" r:id="rId2"/>
    <sheet name="現金流量表" sheetId="4" r:id="rId3"/>
    <sheet name="財務比率計算" sheetId="1" r:id="rId4"/>
    <sheet name="財務比率" sheetId="14" r:id="rId5"/>
    <sheet name="YoY 比較" sheetId="5" r:id="rId6"/>
    <sheet name="範例檔案 (6)" sheetId="13" r:id="rId7"/>
    <sheet name="綜合損益表 for sql" sheetId="8" r:id="rId8"/>
    <sheet name="資產負債表 for sql" sheetId="10" r:id="rId9"/>
    <sheet name="現金流量表 for sql" sheetId="12" r:id="rId10"/>
  </sheets>
  <definedNames>
    <definedName name="外部資料_1" localSheetId="2" hidden="1">現金流量表!$A$1:$D$75</definedName>
    <definedName name="外部資料_1" localSheetId="1" hidden="1">資產負債表!$A$1:$D$59</definedName>
    <definedName name="外部資料_1" localSheetId="0" hidden="1">綜合損益表!$A$1:$D$36</definedName>
    <definedName name="外部資料_1" localSheetId="7" hidden="1">'綜合損益表 for sql'!$A$1:$C$112</definedName>
    <definedName name="外部資料_3" localSheetId="8" hidden="1">'資產負債表 for sql'!$A$1:$C$170</definedName>
    <definedName name="外部資料_5" localSheetId="9" hidden="1">'現金流量表 for sql'!$A$1:$C$205</definedName>
    <definedName name="外部資料_6" localSheetId="6">'範例檔案 (6)'!$A$1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B9" i="1"/>
  <c r="D59" i="3"/>
  <c r="C59" i="3"/>
  <c r="B59" i="3"/>
  <c r="C8" i="1"/>
  <c r="D8" i="1"/>
  <c r="C9" i="5" s="1"/>
  <c r="B8" i="1"/>
  <c r="C7" i="1"/>
  <c r="B8" i="5" s="1"/>
  <c r="D7" i="1"/>
  <c r="B7" i="1"/>
  <c r="C6" i="1"/>
  <c r="D6" i="1"/>
  <c r="B6" i="1"/>
  <c r="C5" i="1"/>
  <c r="D5" i="1"/>
  <c r="B5" i="1"/>
  <c r="C4" i="1"/>
  <c r="D4" i="1"/>
  <c r="B4" i="1"/>
  <c r="D3" i="1"/>
  <c r="C3" i="1"/>
  <c r="B3" i="1"/>
  <c r="D2" i="1"/>
  <c r="C2" i="1"/>
  <c r="B2" i="1"/>
  <c r="C5" i="5" l="1"/>
  <c r="C8" i="5"/>
  <c r="B4" i="5"/>
  <c r="B9" i="5"/>
  <c r="C6" i="5"/>
  <c r="B7" i="5"/>
  <c r="C4" i="5"/>
  <c r="B5" i="5"/>
  <c r="C10" i="5"/>
  <c r="B6" i="5"/>
  <c r="B10" i="5"/>
  <c r="C7" i="5"/>
  <c r="B3" i="5"/>
  <c r="C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4DA32A-7CEC-45EF-9F85-476A8DDEBC45}" keepAlive="1" name="查詢 - 參數1" description="與活頁簿中 '參數1' 查詢的連接。" type="5" refreshedVersion="0" background="1">
    <dbPr connection="Provider=Microsoft.Mashup.OleDb.1;Data Source=$Workbook$;Location=參數1;Extended Properties=&quot;&quot;" command="SELECT * FROM [參數1]"/>
  </connection>
  <connection id="2" xr16:uid="{8B7C30D3-7F8F-4659-B13B-8A1744F29E70}" keepAlive="1" name="查詢 - 參數2" description="與活頁簿中 '參數2' 查詢的連接。" type="5" refreshedVersion="0" background="1">
    <dbPr connection="Provider=Microsoft.Mashup.OleDb.1;Data Source=$Workbook$;Location=參數2;Extended Properties=&quot;&quot;" command="SELECT * FROM [參數2]"/>
  </connection>
  <connection id="3" xr16:uid="{260B89A1-CCDD-4486-AC93-718419ED2063}" keepAlive="1" name="查詢 - 參數3" description="與活頁簿中 '參數3' 查詢的連接。" type="5" refreshedVersion="0" background="1">
    <dbPr connection="Provider=Microsoft.Mashup.OleDb.1;Data Source=$Workbook$;Location=參數3;Extended Properties=&quot;&quot;" command="SELECT * FROM [參數3]"/>
  </connection>
  <connection id="4" xr16:uid="{E026BF57-E0AC-4738-A47A-7FB06D6BE0C9}" keepAlive="1" name="查詢 - 現金流量表" description="與活頁簿中 '現金流量表' 查詢的連接。" type="5" refreshedVersion="8" background="1" saveData="1">
    <dbPr connection="Provider=Microsoft.Mashup.OleDb.1;Data Source=$Workbook$;Location=現金流量表;Extended Properties=&quot;&quot;" command="SELECT * FROM [現金流量表]"/>
  </connection>
  <connection id="5" xr16:uid="{2DF286F7-5B78-4C09-B05B-BAADD6AA99BC}" keepAlive="1" name="查詢 - 現金流量表 (2)(1)" description="與活頁簿中 '現金流量表 (2)' 查詢的連接。" type="5" refreshedVersion="8" background="1" saveData="1">
    <dbPr connection="Provider=Microsoft.Mashup.OleDb.1;Data Source=$Workbook$;Location=&quot;現金流量表 (2)&quot;;Extended Properties=&quot;&quot;" command="SELECT * FROM [現金流量表 (2)]"/>
  </connection>
  <connection id="6" xr16:uid="{4247CEB5-98F3-4DBE-A4CB-4898D48D8210}" keepAlive="1" name="查詢 - 資產負債表" description="與活頁簿中 '資產負債表' 查詢的連接。" type="5" refreshedVersion="8" background="1" saveData="1">
    <dbPr connection="Provider=Microsoft.Mashup.OleDb.1;Data Source=$Workbook$;Location=資產負債表;Extended Properties=&quot;&quot;" command="SELECT * FROM [資產負債表]"/>
  </connection>
  <connection id="7" xr16:uid="{DE18E76F-D2B8-4F9F-A362-E90DD4D75F67}" keepAlive="1" name="查詢 - 資產負債表 (2)(1)" description="與活頁簿中 '資產負債表 (2)' 查詢的連接。" type="5" refreshedVersion="8" background="1" saveData="1">
    <dbPr connection="Provider=Microsoft.Mashup.OleDb.1;Data Source=$Workbook$;Location=&quot;資產負債表 (2)&quot;;Extended Properties=&quot;&quot;" command="SELECT * FROM [資產負債表 (2)]"/>
  </connection>
  <connection id="8" xr16:uid="{54A953F3-9938-429C-8001-F7C608893AD4}" keepAlive="1" name="查詢 - 綜合損益表" description="與活頁簿中 '綜合損益表' 查詢的連接。" type="5" refreshedVersion="8" background="1" saveData="1">
    <dbPr connection="Provider=Microsoft.Mashup.OleDb.1;Data Source=$Workbook$;Location=綜合損益表;Extended Properties=&quot;&quot;" command="SELECT * FROM [綜合損益表]"/>
  </connection>
  <connection id="9" xr16:uid="{BC7171CE-C400-435E-B4A5-78E7230FDECC}" keepAlive="1" name="查詢 - 綜合損益表 for sql" description="與活頁簿中 '綜合損益表 for sql' 查詢的連接。" type="5" refreshedVersion="8" background="1" saveData="1">
    <dbPr connection="Provider=Microsoft.Mashup.OleDb.1;Data Source=$Workbook$;Location=&quot;綜合損益表 for sql&quot;;Extended Properties=&quot;&quot;" command="SELECT * FROM [綜合損益表 for sql]"/>
  </connection>
  <connection id="10" xr16:uid="{61655F95-102A-4177-9B36-B2E645F4BF5A}" keepAlive="1" name="查詢 - 範例檔案" description="與活頁簿中 '範例檔案' 查詢的連接。" type="5" refreshedVersion="0" background="1">
    <dbPr connection="Provider=Microsoft.Mashup.OleDb.1;Data Source=$Workbook$;Location=範例檔案;Extended Properties=&quot;&quot;" command="SELECT * FROM [範例檔案]"/>
  </connection>
  <connection id="11" xr16:uid="{80BD9099-1A4B-4381-BEB3-F3B6211DAD25}" keepAlive="1" name="查詢 - 範例檔案 (2)" description="與活頁簿中 '範例檔案 (2)' 查詢的連接。" type="5" refreshedVersion="0" background="1">
    <dbPr connection="Provider=Microsoft.Mashup.OleDb.1;Data Source=$Workbook$;Location=&quot;範例檔案 (2)&quot;;Extended Properties=&quot;&quot;" command="SELECT * FROM [範例檔案 (2)]"/>
  </connection>
  <connection id="12" xr16:uid="{B2517E3F-E08F-4EBF-BDCE-4FDDE4074797}" keepAlive="1" name="查詢 - 範例檔案 (3)" description="與活頁簿中 '範例檔案 (3)' 查詢的連接。" type="5" refreshedVersion="0" background="1">
    <dbPr connection="Provider=Microsoft.Mashup.OleDb.1;Data Source=$Workbook$;Location=&quot;範例檔案 (3)&quot;;Extended Properties=&quot;&quot;" command="SELECT * FROM [範例檔案 (3)]"/>
  </connection>
  <connection id="13" xr16:uid="{FAE18904-DD29-49DA-8DD9-22F82510AEFB}" keepAlive="1" name="查詢 - 範例檔案 (4)(1)" description="與活頁簿中 '範例檔案 (4)' 查詢的連接。" type="5" refreshedVersion="0" background="1">
    <dbPr connection="Provider=Microsoft.Mashup.OleDb.1;Data Source=$Workbook$;Location=&quot;範例檔案 (4)&quot;;Extended Properties=&quot;&quot;" command="SELECT * FROM [範例檔案 (4)]"/>
  </connection>
  <connection id="14" xr16:uid="{35EFDC30-3F49-4A21-804A-E4BD0C22F065}" keepAlive="1" name="查詢 - 範例檔案 (5)(1)" description="與活頁簿中 '範例檔案 (5)' 查詢的連接。" type="5" refreshedVersion="0" background="1">
    <dbPr connection="Provider=Microsoft.Mashup.OleDb.1;Data Source=$Workbook$;Location=&quot;範例檔案 (5)&quot;;Extended Properties=&quot;&quot;" command="SELECT * FROM [範例檔案 (5)]"/>
  </connection>
  <connection id="15" xr16:uid="{90865B74-DB47-4559-A10A-A42AB00EA6EA}" keepAlive="1" name="查詢 - 範例檔案 (6)(1)" description="與活頁簿中 '範例檔案 (6)' 查詢的連接。" type="5" refreshedVersion="0" background="1" saveData="1">
    <dbPr connection="Provider=Microsoft.Mashup.OleDb.1;Data Source=$Workbook$;Location=&quot;範例檔案 (6)&quot;;Extended Properties=&quot;&quot;" command="SELECT * FROM [範例檔案 (6)]"/>
  </connection>
  <connection id="16" xr16:uid="{2CAE7331-39A2-4AEC-AEAB-4A785F1574CC}" keepAlive="1" name="查詢 - 轉換範例檔案" description="與活頁簿中 '轉換範例檔案' 查詢的連接。" type="5" refreshedVersion="0" background="1">
    <dbPr connection="Provider=Microsoft.Mashup.OleDb.1;Data Source=$Workbook$;Location=轉換範例檔案;Extended Properties=&quot;&quot;" command="SELECT * FROM [轉換範例檔案]"/>
  </connection>
  <connection id="17" xr16:uid="{43A66F4E-B83C-4032-A9C7-197B1B47415A}" keepAlive="1" name="查詢 - 轉換範例檔案 (2)" description="與活頁簿中 '轉換範例檔案 (2)' 查詢的連接。" type="5" refreshedVersion="0" background="1">
    <dbPr connection="Provider=Microsoft.Mashup.OleDb.1;Data Source=$Workbook$;Location=&quot;轉換範例檔案 (2)&quot;;Extended Properties=&quot;&quot;" command="SELECT * FROM [轉換範例檔案 (2)]"/>
  </connection>
  <connection id="18" xr16:uid="{CF075A4E-3F9D-42AC-AD4F-5BAD71A4346F}" keepAlive="1" name="查詢 - 轉換範例檔案 (3)" description="與活頁簿中 '轉換範例檔案 (3)' 查詢的連接。" type="5" refreshedVersion="0" background="1">
    <dbPr connection="Provider=Microsoft.Mashup.OleDb.1;Data Source=$Workbook$;Location=&quot;轉換範例檔案 (3)&quot;;Extended Properties=&quot;&quot;" command="SELECT * FROM [轉換範例檔案 (3)]"/>
  </connection>
  <connection id="19" xr16:uid="{39BDFB46-770B-4C5C-931A-E7B1A984003B}" keepAlive="1" name="查詢 - 轉換檔案" description="與活頁簿中 '轉換檔案' 查詢的連接。" type="5" refreshedVersion="0" background="1">
    <dbPr connection="Provider=Microsoft.Mashup.OleDb.1;Data Source=$Workbook$;Location=轉換檔案;Extended Properties=&quot;&quot;" command="SELECT * FROM [轉換檔案]"/>
  </connection>
  <connection id="20" xr16:uid="{0200D586-2F12-485E-9E63-38F1DE4B6693}" keepAlive="1" name="查詢 - 轉換檔案 (2)" description="與活頁簿中 '轉換檔案 (2)' 查詢的連接。" type="5" refreshedVersion="0" background="1">
    <dbPr connection="Provider=Microsoft.Mashup.OleDb.1;Data Source=$Workbook$;Location=&quot;轉換檔案 (2)&quot;;Extended Properties=&quot;&quot;" command="SELECT * FROM [轉換檔案 (2)]"/>
  </connection>
  <connection id="21" xr16:uid="{FFCEA613-2F13-4A02-86E7-64EB01D1EAAD}" keepAlive="1" name="查詢 - 轉換檔案 (3)" description="與活頁簿中 '轉換檔案 (3)' 查詢的連接。" type="5" refreshedVersion="0" background="1">
    <dbPr connection="Provider=Microsoft.Mashup.OleDb.1;Data Source=$Workbook$;Location=&quot;轉換檔案 (3)&quot;;Extended Properties=&quot;&quot;" command="SELECT * FROM [轉換檔案 (3)]"/>
  </connection>
  <connection id="22" xr16:uid="{39F08000-CCCF-4443-A76F-24C7E0FAB958}" keepAlive="1" name="查詢 - 轉換檔案 (4)(1)" description="與活頁簿中 '轉換檔案 (4)' 查詢的連接。" type="5" refreshedVersion="0" background="1">
    <dbPr connection="Provider=Microsoft.Mashup.OleDb.1;Data Source=$Workbook$;Location=&quot;轉換檔案 (4)&quot;;Extended Properties=&quot;&quot;" command="SELECT * FROM [轉換檔案 (4)]"/>
  </connection>
  <connection id="23" xr16:uid="{58847C7B-2D78-4B4B-9B45-0F04D987FA27}" keepAlive="1" name="查詢 - 轉換檔案 (5)(1)" description="與活頁簿中 '轉換檔案 (5)' 查詢的連接。" type="5" refreshedVersion="0" background="1">
    <dbPr connection="Provider=Microsoft.Mashup.OleDb.1;Data Source=$Workbook$;Location=&quot;轉換檔案 (5)&quot;;Extended Properties=&quot;&quot;" command="SELECT * FROM [轉換檔案 (5)]"/>
  </connection>
  <connection id="24" xr16:uid="{031783D1-9B64-442A-9A22-4D4BA99ECD8A}" keepAlive="1" name="查詢 - 轉換檔案 (6)(1)" description="與活頁簿中 '轉換檔案 (6)' 查詢的連接。" type="5" refreshedVersion="0" background="1">
    <dbPr connection="Provider=Microsoft.Mashup.OleDb.1;Data Source=$Workbook$;Location=&quot;轉換檔案 (6)&quot;;Extended Properties=&quot;&quot;" command="SELECT * FROM [轉換檔案 (6)]"/>
  </connection>
</connections>
</file>

<file path=xl/sharedStrings.xml><?xml version="1.0" encoding="utf-8"?>
<sst xmlns="http://schemas.openxmlformats.org/spreadsheetml/2006/main" count="1203" uniqueCount="191">
  <si>
    <t>會計科目</t>
  </si>
  <si>
    <t>2023</t>
  </si>
  <si>
    <t>2024</t>
  </si>
  <si>
    <t>2025</t>
  </si>
  <si>
    <t>　　　國外營運機構財務報表換算之兌換差額</t>
  </si>
  <si>
    <t>　　　採用權益法認列之關聯企業及合資之其他綜合損益之份額-不重分類至損益之項目</t>
  </si>
  <si>
    <t>　　　採用權益法認列之關聯企業及合資之其他綜合損益之份額-可能重分類至損益之項目</t>
  </si>
  <si>
    <t>　　　確定福利計畫之再衡量數</t>
  </si>
  <si>
    <t>　　　與不重分類之項目相關之所得稅</t>
  </si>
  <si>
    <t>　　　透過其他綜合損益按公允價值衡量之權益工具投資未實現評價損益</t>
  </si>
  <si>
    <t>　　其他利益及損失淨額</t>
  </si>
  <si>
    <t>　　其他收入</t>
  </si>
  <si>
    <t>　　利息收入</t>
  </si>
  <si>
    <t>　　採用權益法認列之關聯企業及合資損益之份額淨額</t>
  </si>
  <si>
    <t>　　推銷費用</t>
  </si>
  <si>
    <t>　　管理費用</t>
  </si>
  <si>
    <t>　　財務成本淨額</t>
  </si>
  <si>
    <t>　　預期信用減損損失（利益）</t>
  </si>
  <si>
    <t>　不重分類至損益之項目：</t>
  </si>
  <si>
    <t>　其他綜合損益（淨額）</t>
  </si>
  <si>
    <t>　基本每股盈餘</t>
  </si>
  <si>
    <t>　後續可能重分類至損益之項目：</t>
  </si>
  <si>
    <t>　母公司業主（淨利∕損）</t>
  </si>
  <si>
    <t>　母公司業主（綜合損益）</t>
  </si>
  <si>
    <t>　營業外收入及支出合計</t>
  </si>
  <si>
    <t>　營業費用合計</t>
  </si>
  <si>
    <t>　稀釋每股盈餘</t>
  </si>
  <si>
    <t>　非控制權益（淨利∕損）</t>
  </si>
  <si>
    <t>　非控制權益（綜合損益）</t>
  </si>
  <si>
    <t>所得稅費用（利益）合計</t>
  </si>
  <si>
    <t>本期淨利（淨損）</t>
  </si>
  <si>
    <t>本期綜合損益總額</t>
  </si>
  <si>
    <t>營業利益（損失）</t>
  </si>
  <si>
    <t>營業成本合計</t>
  </si>
  <si>
    <t>營業收入合計</t>
  </si>
  <si>
    <t>營業毛利（毛損）</t>
  </si>
  <si>
    <t>營業毛利（毛損）淨額</t>
  </si>
  <si>
    <t>稅前淨利（淨損）</t>
  </si>
  <si>
    <t>繼續營業單位本期淨利（淨損）</t>
  </si>
  <si>
    <t>　　　　國外營運機構財務報表換算之兌換差額</t>
  </si>
  <si>
    <t>　　　　普通股股本</t>
  </si>
  <si>
    <t>　　　　未分配盈餘（或待彌補虧損）</t>
  </si>
  <si>
    <t>　　　　法定盈餘公積</t>
  </si>
  <si>
    <t>　　　　特別盈餘公積</t>
  </si>
  <si>
    <t>　　　　資本公積－其他</t>
  </si>
  <si>
    <t>　　　　透過其他綜合損益按公允價值衡量之金融資產未實現評價損益</t>
  </si>
  <si>
    <t>　　　不動產、廠房及設備</t>
  </si>
  <si>
    <t>　　　使用權資產</t>
  </si>
  <si>
    <t>　　　保留盈餘合計</t>
  </si>
  <si>
    <t>　　　其他應付款</t>
  </si>
  <si>
    <t>　　　其他應收款淨額</t>
  </si>
  <si>
    <t>　　　其他權益合計</t>
  </si>
  <si>
    <t>　　　其他流動負債</t>
  </si>
  <si>
    <t>　　　其他流動資產</t>
  </si>
  <si>
    <t>　　　其他非流動負債</t>
  </si>
  <si>
    <t>　　　其他非流動資產</t>
  </si>
  <si>
    <t>　　　合約負債－流動</t>
  </si>
  <si>
    <t>　　　合約負債－非流動</t>
  </si>
  <si>
    <t>　　　存貨</t>
  </si>
  <si>
    <t>　　　應付帳款</t>
  </si>
  <si>
    <t>　　　應付帳款－關係人</t>
  </si>
  <si>
    <t>　　　應付短期票券</t>
  </si>
  <si>
    <t>　　　應付票據</t>
  </si>
  <si>
    <t>　　　應收帳款淨額</t>
  </si>
  <si>
    <t>　　　投資性不動產淨額</t>
  </si>
  <si>
    <t>　　　按攤銷後成本衡量之金融資產－流動</t>
  </si>
  <si>
    <t>　　　按攤銷後成本衡量之金融資產－非流動</t>
  </si>
  <si>
    <t>　　　採用權益法之投資</t>
  </si>
  <si>
    <t>　　　本期所得稅負債</t>
  </si>
  <si>
    <t>　　　本期所得稅資產</t>
  </si>
  <si>
    <t>　　　無形資產</t>
  </si>
  <si>
    <t>　　　現金及約當現金</t>
  </si>
  <si>
    <t>　　　短期借款</t>
  </si>
  <si>
    <t>　　　租賃負債－流動</t>
  </si>
  <si>
    <t>　　　租賃負債－非流動</t>
  </si>
  <si>
    <t>　　　股本合計</t>
  </si>
  <si>
    <t>　　　資本公積合計</t>
  </si>
  <si>
    <t>　　　透過其他綜合損益按公允價值衡量之金融資產－非流動</t>
  </si>
  <si>
    <t>　　　透過損益按公允價值衡量之金融資產－流動</t>
  </si>
  <si>
    <t>　　　透過損益按公允價值衡量之金融資產－非流動</t>
  </si>
  <si>
    <t>　　　遞延所得稅負債</t>
  </si>
  <si>
    <t>　　　遞延所得稅資產</t>
  </si>
  <si>
    <t>　　　長期借款</t>
  </si>
  <si>
    <t>　　　預付款項</t>
  </si>
  <si>
    <t>　　歸屬於母公司業主之權益合計</t>
  </si>
  <si>
    <t>　　流動負債合計</t>
  </si>
  <si>
    <t>　　流動資產合計</t>
  </si>
  <si>
    <t>　　非控制權益</t>
  </si>
  <si>
    <t>　　非流動負債合計</t>
  </si>
  <si>
    <t>　　非流動資產合計</t>
  </si>
  <si>
    <t>　權益總額</t>
  </si>
  <si>
    <t>　母公司暨子公司所持有之母公司庫藏股股數（單位：股）</t>
  </si>
  <si>
    <t>　負債及權益總計</t>
  </si>
  <si>
    <t>　負債總額</t>
  </si>
  <si>
    <t>　資產總額</t>
  </si>
  <si>
    <t>　預收股款（權益項下）之約當發行股數（單位：股）</t>
  </si>
  <si>
    <t>　　　　其他應付款增加（減少）</t>
  </si>
  <si>
    <t>　　　　其他應收款（增加）減少</t>
  </si>
  <si>
    <t>　　　　其他流動資產（增加）減少</t>
  </si>
  <si>
    <t>　　　　合約負債增加（減少）</t>
  </si>
  <si>
    <t>　　　　存貨減少(增加)之調整數</t>
  </si>
  <si>
    <t>　　　　強制透過損益按公允價值衡量之金融資產（增加）減少</t>
  </si>
  <si>
    <t>　　　　應付帳款增加（減少）</t>
  </si>
  <si>
    <t>　　　　應付票據增加（減少）</t>
  </si>
  <si>
    <t>　　　　應收帳款（增加）減少</t>
  </si>
  <si>
    <t>　　　　淨確定福利負債增加(減少)</t>
  </si>
  <si>
    <t>　　　　與營業活動相關之負債之淨變動合計</t>
  </si>
  <si>
    <t>　　　　與營業活動相關之資產之淨變動合計</t>
  </si>
  <si>
    <t>　　　　預付款項（增加）減少</t>
  </si>
  <si>
    <t>　　　　預收款項增加（減少）</t>
  </si>
  <si>
    <t>　　　其他項目</t>
  </si>
  <si>
    <t>　　　利息收入</t>
  </si>
  <si>
    <t>　　　利息費用</t>
  </si>
  <si>
    <t>　　　折舊費用</t>
  </si>
  <si>
    <t>　　　採用權益法認列之關聯企業及合資損失（利益）之份額</t>
  </si>
  <si>
    <t>　　　攤銷費用</t>
  </si>
  <si>
    <t>　　　收益費損項目合計</t>
  </si>
  <si>
    <t>　　　股利收入</t>
  </si>
  <si>
    <t>　　　與營業活動相關之資產及負債之淨變動合計</t>
  </si>
  <si>
    <t>　　　處分及報廢不動產、廠房及設備損失（利益）</t>
  </si>
  <si>
    <t>　　　處分投資性不動產損失（利益）</t>
  </si>
  <si>
    <t>　　　處分採用權益法之投資損失（利益）</t>
  </si>
  <si>
    <t>　　　透過損益按公允價值衡量金融資產及負債之淨損失（利益）</t>
  </si>
  <si>
    <t>　　　非金融資產減損損失</t>
  </si>
  <si>
    <t>　　　預期信用減損損失（利益）數∕呆帳費用提列（轉列收入）數</t>
  </si>
  <si>
    <t>　　調整項目合計</t>
  </si>
  <si>
    <t>　償還長期借款</t>
  </si>
  <si>
    <t>　其他投資活動</t>
  </si>
  <si>
    <t>　其他籌資活動</t>
  </si>
  <si>
    <t>　其他非流動負債增加</t>
  </si>
  <si>
    <t>　其他非流動負債減少</t>
  </si>
  <si>
    <t>　其他非流動資產增加</t>
  </si>
  <si>
    <t>　其他非流動資產減少</t>
  </si>
  <si>
    <t>　取得不動產、廠房及設備</t>
  </si>
  <si>
    <t>　取得子公司股權</t>
  </si>
  <si>
    <t>　取得投資性不動產</t>
  </si>
  <si>
    <t>　取得按攤銷後成本衡量之金融資產</t>
  </si>
  <si>
    <t>　取得採用權益法之投資</t>
  </si>
  <si>
    <t>　取得無形資產</t>
  </si>
  <si>
    <t>　存入保證金增加</t>
  </si>
  <si>
    <t>　存入保證金減少</t>
  </si>
  <si>
    <t>　存出保證金增加</t>
  </si>
  <si>
    <t>　應付短期票券增加</t>
  </si>
  <si>
    <t>　應付短期票券減少</t>
  </si>
  <si>
    <t>　投資活動之淨現金流入（流出）</t>
  </si>
  <si>
    <t>　支付之利息</t>
  </si>
  <si>
    <t>　收取之利息</t>
  </si>
  <si>
    <t>　收取之股利</t>
  </si>
  <si>
    <t>　本期稅前淨利（淨損）</t>
  </si>
  <si>
    <t>　營運產生之現金流入（流出）</t>
  </si>
  <si>
    <t>　發放現金股利</t>
  </si>
  <si>
    <t>　短期借款增加</t>
  </si>
  <si>
    <t>　短期借款減少</t>
  </si>
  <si>
    <t>　租賃本金償還</t>
  </si>
  <si>
    <t>　籌資活動之淨現金流入（流出）</t>
  </si>
  <si>
    <t>　繼續營業單位稅前淨利（淨損）</t>
  </si>
  <si>
    <t>　舉借長期借款</t>
  </si>
  <si>
    <t>　處分不動產、廠房及設備</t>
  </si>
  <si>
    <t>　處分子公司</t>
  </si>
  <si>
    <t>　處分投資性不動產</t>
  </si>
  <si>
    <t>　處分按攤銷後成本衡量之金融資產</t>
  </si>
  <si>
    <t>　資產負債表帳列之現金及約當現金</t>
  </si>
  <si>
    <t>　退還（支付）之所得稅</t>
  </si>
  <si>
    <t>　非控制權益變動</t>
  </si>
  <si>
    <t>　預付投資款增加</t>
  </si>
  <si>
    <t>匯率變動對現金及約當現金之影響</t>
  </si>
  <si>
    <t>期初現金及約當現金餘額</t>
  </si>
  <si>
    <t>期末現金及約當現金餘額</t>
  </si>
  <si>
    <t>本期現金及約當現金增加（減少）數</t>
  </si>
  <si>
    <t>營業活動之淨現金流入（流出）</t>
  </si>
  <si>
    <t>財務比率</t>
  </si>
  <si>
    <t>營業利益率</t>
  </si>
  <si>
    <t xml:space="preserve"> 淨利率</t>
  </si>
  <si>
    <t>ROE</t>
  </si>
  <si>
    <t>ROA</t>
  </si>
  <si>
    <t>負債比率</t>
  </si>
  <si>
    <t>流動比率</t>
  </si>
  <si>
    <t xml:space="preserve">毛利率 </t>
  </si>
  <si>
    <t xml:space="preserve">毛利率 </t>
    <phoneticPr fontId="2" type="noConversion"/>
  </si>
  <si>
    <t>平均存貨</t>
    <phoneticPr fontId="2" type="noConversion"/>
  </si>
  <si>
    <t>2022</t>
    <phoneticPr fontId="2" type="noConversion"/>
  </si>
  <si>
    <t>存貨週轉次數</t>
  </si>
  <si>
    <t>存貨週轉次數</t>
    <phoneticPr fontId="2" type="noConversion"/>
  </si>
  <si>
    <t>2023→2024</t>
  </si>
  <si>
    <t>2024→2025</t>
  </si>
  <si>
    <t>YoY 變動分析</t>
    <phoneticPr fontId="2" type="noConversion"/>
  </si>
  <si>
    <t>科目名稱</t>
  </si>
  <si>
    <t>年度</t>
  </si>
  <si>
    <t>金額</t>
  </si>
  <si>
    <t>　　繼續營業單位淨利（淨損）</t>
  </si>
  <si>
    <t>外部資料_6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</si>
</sst>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1" formatCode="_-* #,##0_-;\-* #,##0_-;_-* &quot;-&quot;??_-;_-@_-"/>
    <numFmt numFmtId="190" formatCode="0.000"/>
  </numFmts>
  <fonts count="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theme="1"/>
      <name val="標楷體"/>
      <family val="4"/>
      <charset val="136"/>
    </font>
    <font>
      <sz val="11"/>
      <color rgb="FF0A0A0A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43" fontId="0" fillId="0" borderId="0" xfId="1" applyFont="1">
      <alignment vertical="center"/>
    </xf>
    <xf numFmtId="181" fontId="0" fillId="0" borderId="0" xfId="1" applyNumberFormat="1" applyFont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3" fontId="5" fillId="0" borderId="0" xfId="0" applyNumberFormat="1" applyFont="1">
      <alignment vertical="center"/>
    </xf>
    <xf numFmtId="190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1" applyNumberFormat="1" applyFont="1">
      <alignment vertical="center"/>
    </xf>
  </cellXfs>
  <cellStyles count="3">
    <cellStyle name="一般" xfId="0" builtinId="0"/>
    <cellStyle name="千分位" xfId="1" builtinId="3"/>
    <cellStyle name="百分比" xfId="2" builtinId="5"/>
  </cellStyles>
  <dxfs count="27"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81" formatCode="_-* #,##0_-;\-* #,##0_-;_-* &quot;-&quot;??_-;_-@_-"/>
    </dxf>
    <dxf>
      <numFmt numFmtId="181" formatCode="_-* #,##0_-;\-* #,##0_-;_-* &quot;-&quot;??_-;_-@_-"/>
    </dxf>
    <dxf>
      <numFmt numFmtId="181" formatCode="_-* #,##0_-;\-* #,##0_-;_-* &quot;-&quot;??_-;_-@_-"/>
    </dxf>
    <dxf>
      <numFmt numFmtId="181" formatCode="_-* #,##0_-;\-* #,##0_-;_-* &quot;-&quot;??_-;_-@_-"/>
    </dxf>
    <dxf>
      <numFmt numFmtId="0" formatCode="General"/>
    </dxf>
    <dxf>
      <numFmt numFmtId="181" formatCode="_-* #,##0_-;\-* #,##0_-;_-* &quot;-&quot;??_-;_-@_-"/>
    </dxf>
    <dxf>
      <numFmt numFmtId="181" formatCode="_-* #,##0_-;\-* #,##0_-;_-* &quot;-&quot;??_-;_-@_-"/>
    </dxf>
    <dxf>
      <numFmt numFmtId="181" formatCode="_-* #,##0_-;\-* #,##0_-;_-* &quot;-&quot;??_-;_-@_-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8" xr16:uid="{D0C94019-35DC-489B-94B1-043CCE1AE598}" autoFormatId="16" applyNumberFormats="0" applyBorderFormats="0" applyFontFormats="0" applyPatternFormats="0" applyAlignmentFormats="0" applyWidthHeightFormats="0">
  <queryTableRefresh nextId="5">
    <queryTableFields count="4">
      <queryTableField id="1" name="會計科目" tableColumnId="1"/>
      <queryTableField id="2" name="2023" tableColumnId="2"/>
      <queryTableField id="3" name="2024" tableColumnId="3"/>
      <queryTableField id="4" name="2025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6" xr16:uid="{57E0F1FF-F3AA-4209-BE9E-6E018DF6695B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會計科目" tableColumnId="1"/>
      <queryTableField id="2" name="2023" tableColumnId="2"/>
      <queryTableField id="3" name="2024" tableColumnId="3"/>
      <queryTableField id="4" name="2025" tableColumnId="4"/>
      <queryTableField id="5" dataBound="0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4" xr16:uid="{B6126E71-3691-4437-9345-B518521933FB}" autoFormatId="16" applyNumberFormats="0" applyBorderFormats="0" applyFontFormats="0" applyPatternFormats="0" applyAlignmentFormats="0" applyWidthHeightFormats="0">
  <queryTableRefresh nextId="5">
    <queryTableFields count="4">
      <queryTableField id="1" name="會計科目" tableColumnId="1"/>
      <queryTableField id="2" name="2023" tableColumnId="2"/>
      <queryTableField id="3" name="2024" tableColumnId="3"/>
      <queryTableField id="4" name="2025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6" firstBackgroundRefresh="1" connectionId="15" xr16:uid="{F5C2314A-3F4B-45B7-B631-0DF042A7713F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9" xr16:uid="{51122556-7B37-42EE-8468-0F4B8D2C8D22}" autoFormatId="16" applyNumberFormats="0" applyBorderFormats="0" applyFontFormats="0" applyPatternFormats="0" applyAlignmentFormats="0" applyWidthHeightFormats="0">
  <queryTableRefresh nextId="4">
    <queryTableFields count="3">
      <queryTableField id="1" name="科目名稱" tableColumnId="1"/>
      <queryTableField id="2" name="年度" tableColumnId="2"/>
      <queryTableField id="3" name="金額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3" connectionId="7" xr16:uid="{6EB3F73A-65B0-470A-ADB3-3AFB11DD9728}" autoFormatId="16" applyNumberFormats="0" applyBorderFormats="0" applyFontFormats="0" applyPatternFormats="0" applyAlignmentFormats="0" applyWidthHeightFormats="0">
  <queryTableRefresh nextId="12">
    <queryTableFields count="3">
      <queryTableField id="9" name="科目名稱" tableColumnId="7"/>
      <queryTableField id="10" name="年度" tableColumnId="8"/>
      <queryTableField id="11" name="金額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5" connectionId="5" xr16:uid="{0587A6DB-2AF9-4923-9C27-F015F8FB756B}" autoFormatId="16" applyNumberFormats="0" applyBorderFormats="0" applyFontFormats="0" applyPatternFormats="0" applyAlignmentFormats="0" applyWidthHeightFormats="0">
  <queryTableRefresh nextId="12">
    <queryTableFields count="3">
      <queryTableField id="9" name="科目名稱" tableColumnId="7"/>
      <queryTableField id="10" name="年度" tableColumnId="8"/>
      <queryTableField id="11" name="金額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23951E-BF83-48D1-B646-DD12A6674C4C}" name="綜合損益表" displayName="綜合損益表" ref="A1:D36" tableType="queryTable" totalsRowShown="0">
  <autoFilter ref="A1:D36" xr:uid="{5923951E-BF83-48D1-B646-DD12A6674C4C}"/>
  <tableColumns count="4">
    <tableColumn id="1" xr3:uid="{BA002AF2-2F0E-454C-9E69-DBB9D2FE63D9}" uniqueName="1" name="會計科目" queryTableFieldId="1" dataDxfId="17"/>
    <tableColumn id="2" xr3:uid="{016E775D-6181-410B-9AE8-21971404AD4B}" uniqueName="2" name="2023" queryTableFieldId="2" dataDxfId="16" dataCellStyle="千分位"/>
    <tableColumn id="3" xr3:uid="{B116581E-5509-4666-8928-318BC9BA613E}" uniqueName="3" name="2024" queryTableFieldId="3" dataDxfId="15" dataCellStyle="千分位"/>
    <tableColumn id="4" xr3:uid="{5DD97346-12BE-4477-93A4-4BABFDE77901}" uniqueName="4" name="2025" queryTableFieldId="4" dataDxfId="14" dataCellStyle="千分位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77B072-79EB-42D0-92E7-A9EEE56957CA}" name="資產負債表" displayName="資產負債表" ref="A1:E59" tableType="queryTable" totalsRowShown="0">
  <autoFilter ref="A1:E59" xr:uid="{5577B072-79EB-42D0-92E7-A9EEE56957CA}"/>
  <tableColumns count="5">
    <tableColumn id="1" xr3:uid="{1291E51C-4329-4018-BBB6-BE866B9924EF}" uniqueName="1" name="會計科目" queryTableFieldId="1" dataDxfId="26"/>
    <tableColumn id="2" xr3:uid="{EFFE9680-AAF5-4B6F-9525-D8B7B908285D}" uniqueName="2" name="2023" queryTableFieldId="2" dataDxfId="25" dataCellStyle="千分位"/>
    <tableColumn id="3" xr3:uid="{FFB33CB0-490E-4636-8F8E-64B3594BD8D8}" uniqueName="3" name="2024" queryTableFieldId="3" dataDxfId="24" dataCellStyle="千分位"/>
    <tableColumn id="4" xr3:uid="{4F63A68C-DE9A-430B-96B7-DE9DE671DF06}" uniqueName="4" name="2025" queryTableFieldId="4" dataDxfId="23" dataCellStyle="千分位"/>
    <tableColumn id="5" xr3:uid="{4C8DDEF8-16D3-4881-83CF-6CCE7BD171DC}" uniqueName="5" name="2022" queryTableFieldId="5" dataDxfId="18" dataCellStyle="千分位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FCD67D-7F8A-41A9-8DE8-2CCA93B5310F}" name="現金流量表" displayName="現金流量表" ref="A1:D75" tableType="queryTable" totalsRowShown="0">
  <autoFilter ref="A1:D75" xr:uid="{7BFCD67D-7F8A-41A9-8DE8-2CCA93B5310F}"/>
  <tableColumns count="4">
    <tableColumn id="1" xr3:uid="{6DEB4D5C-B457-4705-BE37-1BA87550506D}" uniqueName="1" name="會計科目" queryTableFieldId="1" dataDxfId="22"/>
    <tableColumn id="2" xr3:uid="{4512CCE1-5E35-4262-8BD0-E2574495E952}" uniqueName="2" name="2023" queryTableFieldId="2" dataDxfId="21" dataCellStyle="千分位"/>
    <tableColumn id="3" xr3:uid="{1B9D9B9A-AA4C-45C3-BFCE-5EA086C4A784}" uniqueName="3" name="2024" queryTableFieldId="3" dataDxfId="20" dataCellStyle="千分位"/>
    <tableColumn id="4" xr3:uid="{F5523DDA-DA7C-4C11-9C0B-95DD705DC077}" uniqueName="4" name="2025" queryTableFieldId="4" dataDxfId="19" dataCellStyle="千分位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D9E79D-CEC8-46AA-B63B-589182614536}" name="綜合損益表_for_sql" displayName="綜合損益表_for_sql" ref="A1:C112" tableType="queryTable" totalsRowShown="0">
  <autoFilter ref="A1:C112" xr:uid="{90D9E79D-CEC8-46AA-B63B-589182614536}"/>
  <tableColumns count="3">
    <tableColumn id="1" xr3:uid="{CA7F938F-694B-41BF-97F1-3FFDD8315E0F}" uniqueName="1" name="科目名稱" queryTableFieldId="1" dataDxfId="13"/>
    <tableColumn id="2" xr3:uid="{6FCB7B73-567A-4FD5-B57E-C8126B7F3BAC}" uniqueName="2" name="年度" queryTableFieldId="2" dataDxfId="12"/>
    <tableColumn id="3" xr3:uid="{E4FAB779-4D21-451E-93A8-CF5918B7B8F4}" uniqueName="3" name="金額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695EBE-91BB-44EA-B159-6616887E91FE}" name="資產負債表__2" displayName="資產負債表__2" ref="A1:C170" tableType="queryTable" totalsRowShown="0">
  <autoFilter ref="A1:C170" xr:uid="{5B695EBE-91BB-44EA-B159-6616887E91FE}"/>
  <tableColumns count="3">
    <tableColumn id="7" xr3:uid="{44C33A4C-149D-416E-AD21-646A1CC84468}" uniqueName="7" name="科目名稱" queryTableFieldId="9" dataDxfId="11"/>
    <tableColumn id="8" xr3:uid="{67C692E7-CD8F-4B9D-8A0C-8B591FBC7A1D}" uniqueName="8" name="年度" queryTableFieldId="10" dataDxfId="10"/>
    <tableColumn id="9" xr3:uid="{FE94FD0C-7DD0-4133-B315-3627D6875485}" uniqueName="9" name="金額" queryTableField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908AD7-E49F-40C4-A904-304108652D69}" name="現金流量表__2" displayName="現金流量表__2" ref="A1:C205" tableType="queryTable" totalsRowShown="0">
  <autoFilter ref="A1:C205" xr:uid="{2F908AD7-E49F-40C4-A904-304108652D69}"/>
  <tableColumns count="3">
    <tableColumn id="7" xr3:uid="{B46BDD21-BD01-4030-8886-70405700E100}" uniqueName="7" name="科目名稱" queryTableFieldId="9" dataDxfId="9"/>
    <tableColumn id="8" xr3:uid="{37AB95C0-62E3-422C-B916-8300507CBF6C}" uniqueName="8" name="年度" queryTableFieldId="10" dataDxfId="8"/>
    <tableColumn id="9" xr3:uid="{0098E4E5-1D87-4311-B575-F4C95FEE8DF6}" uniqueName="9" name="金額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5C7D-CD9D-41DA-BFDB-C5208A18E335}">
  <sheetPr codeName="工作表1"/>
  <dimension ref="A1:D36"/>
  <sheetViews>
    <sheetView tabSelected="1" workbookViewId="0">
      <selection activeCell="G22" sqref="G22"/>
    </sheetView>
  </sheetViews>
  <sheetFormatPr defaultRowHeight="16.5" x14ac:dyDescent="0.25"/>
  <cols>
    <col min="1" max="1" width="81" bestFit="1" customWidth="1"/>
    <col min="2" max="4" width="10.5" style="5" bestFit="1" customWidth="1"/>
  </cols>
  <sheetData>
    <row r="1" spans="1:4" x14ac:dyDescent="0.25">
      <c r="A1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1" t="s">
        <v>4</v>
      </c>
      <c r="B2" s="11">
        <v>-56379</v>
      </c>
      <c r="C2" s="11">
        <v>1753411</v>
      </c>
      <c r="D2" s="11">
        <v>-1398320</v>
      </c>
    </row>
    <row r="3" spans="1:4" x14ac:dyDescent="0.25">
      <c r="A3" s="1" t="s">
        <v>5</v>
      </c>
      <c r="B3" s="11">
        <v>7024</v>
      </c>
      <c r="C3" s="11">
        <v>17638</v>
      </c>
      <c r="D3" s="11">
        <v>-15125</v>
      </c>
    </row>
    <row r="4" spans="1:4" x14ac:dyDescent="0.25">
      <c r="A4" s="1" t="s">
        <v>6</v>
      </c>
      <c r="B4" s="11">
        <v>3789</v>
      </c>
      <c r="C4" s="11">
        <v>-4198</v>
      </c>
      <c r="D4" s="11">
        <v>-815</v>
      </c>
    </row>
    <row r="5" spans="1:4" x14ac:dyDescent="0.25">
      <c r="A5" s="1" t="s">
        <v>7</v>
      </c>
      <c r="B5" s="11">
        <v>-15228</v>
      </c>
      <c r="C5" s="11">
        <v>414552</v>
      </c>
      <c r="D5" s="11">
        <v>144199</v>
      </c>
    </row>
    <row r="6" spans="1:4" x14ac:dyDescent="0.25">
      <c r="A6" s="1" t="s">
        <v>8</v>
      </c>
      <c r="B6" s="11">
        <v>-3763</v>
      </c>
      <c r="C6" s="11">
        <v>83565</v>
      </c>
      <c r="D6" s="11">
        <v>33415</v>
      </c>
    </row>
    <row r="7" spans="1:4" x14ac:dyDescent="0.25">
      <c r="A7" s="1" t="s">
        <v>9</v>
      </c>
      <c r="B7" s="11">
        <v>171930</v>
      </c>
      <c r="C7" s="11">
        <v>262718</v>
      </c>
      <c r="D7" s="11">
        <v>44471</v>
      </c>
    </row>
    <row r="8" spans="1:4" x14ac:dyDescent="0.25">
      <c r="A8" s="1" t="s">
        <v>10</v>
      </c>
      <c r="B8" s="11">
        <v>-157665</v>
      </c>
      <c r="C8" s="11">
        <v>150509</v>
      </c>
      <c r="D8" s="11">
        <v>-129992</v>
      </c>
    </row>
    <row r="9" spans="1:4" x14ac:dyDescent="0.25">
      <c r="A9" s="1" t="s">
        <v>11</v>
      </c>
      <c r="B9" s="11">
        <v>2372082</v>
      </c>
      <c r="C9" s="11">
        <v>2772141</v>
      </c>
      <c r="D9" s="11">
        <v>3425318</v>
      </c>
    </row>
    <row r="10" spans="1:4" x14ac:dyDescent="0.25">
      <c r="A10" s="1" t="s">
        <v>12</v>
      </c>
      <c r="B10" s="11">
        <v>1569505</v>
      </c>
      <c r="C10" s="11">
        <v>1754562</v>
      </c>
      <c r="D10" s="11">
        <v>1463634</v>
      </c>
    </row>
    <row r="11" spans="1:4" x14ac:dyDescent="0.25">
      <c r="A11" s="1" t="s">
        <v>13</v>
      </c>
      <c r="B11" s="11">
        <v>202535</v>
      </c>
      <c r="C11" s="11">
        <v>332347</v>
      </c>
      <c r="D11" s="11">
        <v>336556</v>
      </c>
    </row>
    <row r="12" spans="1:4" x14ac:dyDescent="0.25">
      <c r="A12" s="1" t="s">
        <v>14</v>
      </c>
      <c r="B12" s="11">
        <v>82457527</v>
      </c>
      <c r="C12" s="11">
        <v>88839517</v>
      </c>
      <c r="D12" s="11">
        <v>93677885</v>
      </c>
    </row>
    <row r="13" spans="1:4" x14ac:dyDescent="0.25">
      <c r="A13" s="1" t="s">
        <v>15</v>
      </c>
      <c r="B13" s="11">
        <v>11927562</v>
      </c>
      <c r="C13" s="11">
        <v>12592666</v>
      </c>
      <c r="D13" s="11">
        <v>12929251</v>
      </c>
    </row>
    <row r="14" spans="1:4" x14ac:dyDescent="0.25">
      <c r="A14" s="1" t="s">
        <v>16</v>
      </c>
      <c r="B14" s="11">
        <v>1379574</v>
      </c>
      <c r="C14" s="11">
        <v>1620707</v>
      </c>
      <c r="D14" s="11">
        <v>2080499</v>
      </c>
    </row>
    <row r="15" spans="1:4" x14ac:dyDescent="0.25">
      <c r="A15" s="1" t="s">
        <v>17</v>
      </c>
      <c r="B15" s="11">
        <v>36661</v>
      </c>
      <c r="C15" s="11">
        <v>22832</v>
      </c>
      <c r="D15" s="11">
        <v>4156</v>
      </c>
    </row>
    <row r="16" spans="1:4" x14ac:dyDescent="0.25">
      <c r="A16" s="1" t="s">
        <v>18</v>
      </c>
      <c r="B16" s="11">
        <v>167489</v>
      </c>
      <c r="C16" s="11">
        <v>611343</v>
      </c>
      <c r="D16" s="11">
        <v>140130</v>
      </c>
    </row>
    <row r="17" spans="1:4" x14ac:dyDescent="0.25">
      <c r="A17" s="1" t="s">
        <v>19</v>
      </c>
      <c r="B17" s="11">
        <v>114899</v>
      </c>
      <c r="C17" s="11">
        <v>2360556</v>
      </c>
      <c r="D17" s="11">
        <v>-1259005</v>
      </c>
    </row>
    <row r="18" spans="1:4" x14ac:dyDescent="0.25">
      <c r="A18" s="1" t="s">
        <v>20</v>
      </c>
      <c r="B18" s="11">
        <v>10.210000000000001</v>
      </c>
      <c r="C18" s="11">
        <v>11.1</v>
      </c>
      <c r="D18" s="11">
        <v>10.78</v>
      </c>
    </row>
    <row r="19" spans="1:4" x14ac:dyDescent="0.25">
      <c r="A19" s="1" t="s">
        <v>21</v>
      </c>
      <c r="B19" s="11">
        <v>-52590</v>
      </c>
      <c r="C19" s="11">
        <v>1749213</v>
      </c>
      <c r="D19" s="11">
        <v>-1399135</v>
      </c>
    </row>
    <row r="20" spans="1:4" x14ac:dyDescent="0.25">
      <c r="A20" s="1" t="s">
        <v>22</v>
      </c>
      <c r="B20" s="11">
        <v>10613914</v>
      </c>
      <c r="C20" s="11">
        <v>11538923</v>
      </c>
      <c r="D20" s="11">
        <v>11210454</v>
      </c>
    </row>
    <row r="21" spans="1:4" x14ac:dyDescent="0.25">
      <c r="A21" s="1" t="s">
        <v>23</v>
      </c>
      <c r="B21" s="11">
        <v>10737269</v>
      </c>
      <c r="C21" s="11">
        <v>13779915</v>
      </c>
      <c r="D21" s="11">
        <v>10071776</v>
      </c>
    </row>
    <row r="22" spans="1:4" x14ac:dyDescent="0.25">
      <c r="A22" s="1" t="s">
        <v>24</v>
      </c>
      <c r="B22" s="11">
        <v>2606883</v>
      </c>
      <c r="C22" s="11">
        <v>3388852</v>
      </c>
      <c r="D22" s="11">
        <v>3015017</v>
      </c>
    </row>
    <row r="23" spans="1:4" x14ac:dyDescent="0.25">
      <c r="A23" s="1" t="s">
        <v>25</v>
      </c>
      <c r="B23" s="11">
        <v>94421750</v>
      </c>
      <c r="C23" s="11">
        <v>101455015</v>
      </c>
      <c r="D23" s="11">
        <v>106611292</v>
      </c>
    </row>
    <row r="24" spans="1:4" x14ac:dyDescent="0.25">
      <c r="A24" s="1" t="s">
        <v>26</v>
      </c>
      <c r="B24" s="11">
        <v>10.19</v>
      </c>
      <c r="C24" s="11">
        <v>11.07</v>
      </c>
      <c r="D24" s="11">
        <v>10.75</v>
      </c>
    </row>
    <row r="25" spans="1:4" x14ac:dyDescent="0.25">
      <c r="A25" s="1" t="s">
        <v>27</v>
      </c>
      <c r="B25" s="11">
        <v>2047217</v>
      </c>
      <c r="C25" s="11">
        <v>2202516</v>
      </c>
      <c r="D25" s="11">
        <v>2123828</v>
      </c>
    </row>
    <row r="26" spans="1:4" x14ac:dyDescent="0.25">
      <c r="A26" s="1" t="s">
        <v>28</v>
      </c>
      <c r="B26" s="11">
        <v>2038761</v>
      </c>
      <c r="C26" s="11">
        <v>2322080</v>
      </c>
      <c r="D26" s="11">
        <v>2003501</v>
      </c>
    </row>
    <row r="27" spans="1:4" x14ac:dyDescent="0.25">
      <c r="A27" s="1" t="s">
        <v>29</v>
      </c>
      <c r="B27" s="11">
        <v>3696228</v>
      </c>
      <c r="C27" s="11">
        <v>3620148</v>
      </c>
      <c r="D27" s="11">
        <v>3610759</v>
      </c>
    </row>
    <row r="28" spans="1:4" x14ac:dyDescent="0.25">
      <c r="A28" s="1" t="s">
        <v>30</v>
      </c>
      <c r="B28" s="11">
        <v>12661131</v>
      </c>
      <c r="C28" s="11">
        <v>13741439</v>
      </c>
      <c r="D28" s="11">
        <v>13334282</v>
      </c>
    </row>
    <row r="29" spans="1:4" x14ac:dyDescent="0.25">
      <c r="A29" s="1" t="s">
        <v>31</v>
      </c>
      <c r="B29" s="11">
        <v>12776030</v>
      </c>
      <c r="C29" s="11">
        <v>16101995</v>
      </c>
      <c r="D29" s="11">
        <v>12075277</v>
      </c>
    </row>
    <row r="30" spans="1:4" x14ac:dyDescent="0.25">
      <c r="A30" s="1" t="s">
        <v>32</v>
      </c>
      <c r="B30" s="11">
        <v>13750476</v>
      </c>
      <c r="C30" s="11">
        <v>13972735</v>
      </c>
      <c r="D30" s="11">
        <v>13930024</v>
      </c>
    </row>
    <row r="31" spans="1:4" x14ac:dyDescent="0.25">
      <c r="A31" s="1" t="s">
        <v>33</v>
      </c>
      <c r="B31" s="11">
        <v>208869628</v>
      </c>
      <c r="C31" s="11">
        <v>222504647</v>
      </c>
      <c r="D31" s="11">
        <v>230193275</v>
      </c>
    </row>
    <row r="32" spans="1:4" x14ac:dyDescent="0.25">
      <c r="A32" s="1" t="s">
        <v>34</v>
      </c>
      <c r="B32" s="11">
        <v>317041854</v>
      </c>
      <c r="C32" s="11">
        <v>337932397</v>
      </c>
      <c r="D32" s="11">
        <v>350734591</v>
      </c>
    </row>
    <row r="33" spans="1:4" x14ac:dyDescent="0.25">
      <c r="A33" s="1" t="s">
        <v>35</v>
      </c>
      <c r="B33" s="11">
        <v>108172226</v>
      </c>
      <c r="C33" s="11">
        <v>115427750</v>
      </c>
      <c r="D33" s="11">
        <v>120541316</v>
      </c>
    </row>
    <row r="34" spans="1:4" x14ac:dyDescent="0.25">
      <c r="A34" s="1" t="s">
        <v>36</v>
      </c>
      <c r="B34" s="11">
        <v>108172226</v>
      </c>
      <c r="C34" s="11">
        <v>115427750</v>
      </c>
      <c r="D34" s="11">
        <v>120541316</v>
      </c>
    </row>
    <row r="35" spans="1:4" x14ac:dyDescent="0.25">
      <c r="A35" s="1" t="s">
        <v>37</v>
      </c>
      <c r="B35" s="11">
        <v>16357359</v>
      </c>
      <c r="C35" s="11">
        <v>17361587</v>
      </c>
      <c r="D35" s="11">
        <v>16945041</v>
      </c>
    </row>
    <row r="36" spans="1:4" x14ac:dyDescent="0.25">
      <c r="A36" s="1" t="s">
        <v>38</v>
      </c>
      <c r="B36" s="11">
        <v>12661131</v>
      </c>
      <c r="C36" s="11">
        <v>13741439</v>
      </c>
      <c r="D36" s="11">
        <v>13334282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2EC6-D7E1-4BAD-A310-F4AD3C878DF4}">
  <sheetPr codeName="工作表2"/>
  <dimension ref="A1:E59"/>
  <sheetViews>
    <sheetView workbookViewId="0">
      <selection activeCell="A21" sqref="A21"/>
    </sheetView>
  </sheetViews>
  <sheetFormatPr defaultRowHeight="16.5" x14ac:dyDescent="0.25"/>
  <cols>
    <col min="1" max="1" width="69.375" bestFit="1" customWidth="1"/>
    <col min="2" max="4" width="15.875" style="5" bestFit="1" customWidth="1"/>
    <col min="5" max="5" width="10.25" bestFit="1" customWidth="1"/>
  </cols>
  <sheetData>
    <row r="1" spans="1:5" x14ac:dyDescent="0.25">
      <c r="A1" t="s">
        <v>0</v>
      </c>
      <c r="B1" s="5" t="s">
        <v>1</v>
      </c>
      <c r="C1" s="5" t="s">
        <v>2</v>
      </c>
      <c r="D1" s="5" t="s">
        <v>3</v>
      </c>
      <c r="E1" t="s">
        <v>180</v>
      </c>
    </row>
    <row r="2" spans="1:5" x14ac:dyDescent="0.25">
      <c r="A2" s="1" t="s">
        <v>39</v>
      </c>
      <c r="B2" s="5">
        <v>-649458</v>
      </c>
      <c r="C2" s="5">
        <v>1023558</v>
      </c>
      <c r="D2" s="5">
        <v>-225133</v>
      </c>
      <c r="E2" s="5"/>
    </row>
    <row r="3" spans="1:5" x14ac:dyDescent="0.25">
      <c r="A3" s="1" t="s">
        <v>40</v>
      </c>
      <c r="B3" s="5">
        <v>10396223</v>
      </c>
      <c r="C3" s="5">
        <v>10396223</v>
      </c>
      <c r="D3" s="5">
        <v>10396223</v>
      </c>
      <c r="E3" s="5"/>
    </row>
    <row r="4" spans="1:5" x14ac:dyDescent="0.25">
      <c r="A4" s="1" t="s">
        <v>41</v>
      </c>
      <c r="B4" s="5">
        <v>11939629</v>
      </c>
      <c r="C4" s="5">
        <v>13426603</v>
      </c>
      <c r="D4" s="5">
        <v>13744000</v>
      </c>
      <c r="E4" s="5"/>
    </row>
    <row r="5" spans="1:5" x14ac:dyDescent="0.25">
      <c r="A5" s="1" t="s">
        <v>42</v>
      </c>
      <c r="B5" s="5">
        <v>15302251</v>
      </c>
      <c r="C5" s="5">
        <v>16364599</v>
      </c>
      <c r="D5" s="5">
        <v>17549729</v>
      </c>
      <c r="E5" s="5"/>
    </row>
    <row r="6" spans="1:5" x14ac:dyDescent="0.25">
      <c r="A6" s="1" t="s">
        <v>43</v>
      </c>
      <c r="B6" s="5">
        <v>54625</v>
      </c>
      <c r="C6" s="5">
        <v>0</v>
      </c>
      <c r="E6" s="5"/>
    </row>
    <row r="7" spans="1:5" x14ac:dyDescent="0.25">
      <c r="A7" s="1" t="s">
        <v>44</v>
      </c>
      <c r="B7" s="5">
        <v>90300</v>
      </c>
      <c r="C7" s="5">
        <v>91067</v>
      </c>
      <c r="D7" s="5">
        <v>91958</v>
      </c>
      <c r="E7" s="5"/>
    </row>
    <row r="8" spans="1:5" x14ac:dyDescent="0.25">
      <c r="A8" s="1" t="s">
        <v>45</v>
      </c>
      <c r="B8" s="5">
        <v>710937</v>
      </c>
      <c r="C8" s="5">
        <v>975643</v>
      </c>
      <c r="D8" s="5">
        <v>1004660</v>
      </c>
      <c r="E8" s="5"/>
    </row>
    <row r="9" spans="1:5" x14ac:dyDescent="0.25">
      <c r="A9" s="1" t="s">
        <v>46</v>
      </c>
      <c r="B9" s="5">
        <v>37505212</v>
      </c>
      <c r="C9" s="5">
        <v>49670492</v>
      </c>
      <c r="D9" s="5">
        <v>62290649</v>
      </c>
      <c r="E9" s="5"/>
    </row>
    <row r="10" spans="1:5" x14ac:dyDescent="0.25">
      <c r="A10" s="1" t="s">
        <v>47</v>
      </c>
      <c r="B10" s="5">
        <v>88197513</v>
      </c>
      <c r="C10" s="5">
        <v>91426317</v>
      </c>
      <c r="D10" s="5">
        <v>101115343</v>
      </c>
      <c r="E10" s="5"/>
    </row>
    <row r="11" spans="1:5" x14ac:dyDescent="0.25">
      <c r="A11" s="1" t="s">
        <v>48</v>
      </c>
      <c r="B11" s="5">
        <v>27296505</v>
      </c>
      <c r="C11" s="5">
        <v>29791202</v>
      </c>
      <c r="D11" s="5">
        <v>31293729</v>
      </c>
      <c r="E11" s="5"/>
    </row>
    <row r="12" spans="1:5" x14ac:dyDescent="0.25">
      <c r="A12" s="1" t="s">
        <v>49</v>
      </c>
      <c r="B12" s="5">
        <v>33134376</v>
      </c>
      <c r="C12" s="5">
        <v>33714982</v>
      </c>
      <c r="D12" s="5">
        <v>36989148</v>
      </c>
      <c r="E12" s="5"/>
    </row>
    <row r="13" spans="1:5" x14ac:dyDescent="0.25">
      <c r="A13" s="1" t="s">
        <v>50</v>
      </c>
      <c r="B13" s="5">
        <v>3102494</v>
      </c>
      <c r="C13" s="5">
        <v>3752568</v>
      </c>
      <c r="D13" s="5">
        <v>3514966</v>
      </c>
      <c r="E13" s="5"/>
    </row>
    <row r="14" spans="1:5" x14ac:dyDescent="0.25">
      <c r="A14" s="1" t="s">
        <v>51</v>
      </c>
      <c r="B14" s="5">
        <v>61479</v>
      </c>
      <c r="C14" s="5">
        <v>1999201</v>
      </c>
      <c r="D14" s="5">
        <v>779527</v>
      </c>
      <c r="E14" s="5"/>
    </row>
    <row r="15" spans="1:5" x14ac:dyDescent="0.25">
      <c r="A15" s="1" t="s">
        <v>52</v>
      </c>
      <c r="B15" s="5">
        <v>3924950</v>
      </c>
      <c r="C15" s="5">
        <v>4324669</v>
      </c>
      <c r="D15" s="5">
        <v>3822965</v>
      </c>
      <c r="E15" s="5"/>
    </row>
    <row r="16" spans="1:5" x14ac:dyDescent="0.25">
      <c r="A16" s="1" t="s">
        <v>53</v>
      </c>
      <c r="B16" s="5">
        <v>2707993</v>
      </c>
      <c r="C16" s="5">
        <v>3134826</v>
      </c>
      <c r="D16" s="5">
        <v>2869961</v>
      </c>
      <c r="E16" s="5"/>
    </row>
    <row r="17" spans="1:5" x14ac:dyDescent="0.25">
      <c r="A17" s="1" t="s">
        <v>54</v>
      </c>
      <c r="B17" s="5">
        <v>9184510</v>
      </c>
      <c r="C17" s="5">
        <v>8678934</v>
      </c>
      <c r="D17" s="5">
        <v>8650599</v>
      </c>
      <c r="E17" s="5"/>
    </row>
    <row r="18" spans="1:5" x14ac:dyDescent="0.25">
      <c r="A18" s="1" t="s">
        <v>55</v>
      </c>
      <c r="B18" s="5">
        <v>5978511</v>
      </c>
      <c r="C18" s="5">
        <v>5152870</v>
      </c>
      <c r="D18" s="5">
        <v>5007590</v>
      </c>
      <c r="E18" s="5"/>
    </row>
    <row r="19" spans="1:5" x14ac:dyDescent="0.25">
      <c r="A19" s="1" t="s">
        <v>56</v>
      </c>
      <c r="B19" s="5">
        <v>7310995</v>
      </c>
      <c r="C19" s="5">
        <v>8291362</v>
      </c>
      <c r="D19" s="5">
        <v>10422029</v>
      </c>
      <c r="E19" s="5"/>
    </row>
    <row r="20" spans="1:5" x14ac:dyDescent="0.25">
      <c r="A20" s="1" t="s">
        <v>57</v>
      </c>
      <c r="B20" s="5">
        <v>679083</v>
      </c>
      <c r="C20" s="5">
        <v>767848</v>
      </c>
      <c r="D20" s="5">
        <v>717924</v>
      </c>
      <c r="E20" s="5"/>
    </row>
    <row r="21" spans="1:5" x14ac:dyDescent="0.25">
      <c r="A21" s="1" t="s">
        <v>58</v>
      </c>
      <c r="B21" s="5">
        <v>23427376</v>
      </c>
      <c r="C21" s="5">
        <v>23631957</v>
      </c>
      <c r="D21" s="5">
        <v>26709097</v>
      </c>
      <c r="E21" s="8">
        <v>21670453</v>
      </c>
    </row>
    <row r="22" spans="1:5" x14ac:dyDescent="0.25">
      <c r="A22" s="1" t="s">
        <v>59</v>
      </c>
      <c r="B22" s="5">
        <v>28401121</v>
      </c>
      <c r="C22" s="5">
        <v>30180289</v>
      </c>
      <c r="D22" s="5">
        <v>26667075</v>
      </c>
      <c r="E22" s="5"/>
    </row>
    <row r="23" spans="1:5" x14ac:dyDescent="0.25">
      <c r="A23" s="1" t="s">
        <v>60</v>
      </c>
      <c r="B23" s="5">
        <v>3670965</v>
      </c>
      <c r="C23" s="5">
        <v>3951265</v>
      </c>
      <c r="D23" s="5">
        <v>4325672</v>
      </c>
      <c r="E23" s="5"/>
    </row>
    <row r="24" spans="1:5" x14ac:dyDescent="0.25">
      <c r="A24" s="1" t="s">
        <v>61</v>
      </c>
      <c r="B24" s="5">
        <v>3497090</v>
      </c>
      <c r="C24" s="5">
        <v>2098141</v>
      </c>
      <c r="D24" s="5">
        <v>6992539</v>
      </c>
      <c r="E24" s="5"/>
    </row>
    <row r="25" spans="1:5" x14ac:dyDescent="0.25">
      <c r="A25" s="1" t="s">
        <v>62</v>
      </c>
      <c r="B25" s="5">
        <v>2204719</v>
      </c>
      <c r="C25" s="5">
        <v>1047100</v>
      </c>
      <c r="D25" s="5">
        <v>967393</v>
      </c>
      <c r="E25" s="5"/>
    </row>
    <row r="26" spans="1:5" x14ac:dyDescent="0.25">
      <c r="A26" s="1" t="s">
        <v>63</v>
      </c>
      <c r="B26" s="5">
        <v>7340609</v>
      </c>
      <c r="C26" s="5">
        <v>7577551</v>
      </c>
      <c r="D26" s="5">
        <v>7617155</v>
      </c>
      <c r="E26" s="5"/>
    </row>
    <row r="27" spans="1:5" x14ac:dyDescent="0.25">
      <c r="A27" s="1" t="s">
        <v>64</v>
      </c>
      <c r="B27" s="5">
        <v>3214862</v>
      </c>
      <c r="C27" s="5">
        <v>2899200</v>
      </c>
      <c r="D27" s="5">
        <v>1071791</v>
      </c>
      <c r="E27" s="5"/>
    </row>
    <row r="28" spans="1:5" x14ac:dyDescent="0.25">
      <c r="A28" s="1" t="s">
        <v>65</v>
      </c>
      <c r="B28" s="5">
        <v>6978609</v>
      </c>
      <c r="C28" s="5">
        <v>181334</v>
      </c>
      <c r="D28" s="5">
        <v>391485</v>
      </c>
      <c r="E28" s="5"/>
    </row>
    <row r="29" spans="1:5" x14ac:dyDescent="0.25">
      <c r="A29" s="1" t="s">
        <v>66</v>
      </c>
      <c r="C29" s="5">
        <v>215593</v>
      </c>
      <c r="D29" s="5">
        <v>206895</v>
      </c>
      <c r="E29" s="5"/>
    </row>
    <row r="30" spans="1:5" x14ac:dyDescent="0.25">
      <c r="A30" s="1" t="s">
        <v>67</v>
      </c>
      <c r="B30" s="5">
        <v>13496300</v>
      </c>
      <c r="C30" s="5">
        <v>13746633</v>
      </c>
      <c r="D30" s="5">
        <v>13817711</v>
      </c>
      <c r="E30" s="5"/>
    </row>
    <row r="31" spans="1:5" x14ac:dyDescent="0.25">
      <c r="A31" s="1" t="s">
        <v>68</v>
      </c>
      <c r="B31" s="5">
        <v>2341093</v>
      </c>
      <c r="C31" s="5">
        <v>2331030</v>
      </c>
      <c r="D31" s="5">
        <v>2115688</v>
      </c>
      <c r="E31" s="5"/>
    </row>
    <row r="32" spans="1:5" x14ac:dyDescent="0.25">
      <c r="A32" s="1" t="s">
        <v>69</v>
      </c>
      <c r="B32" s="5">
        <v>8276</v>
      </c>
      <c r="C32" s="5">
        <v>6024</v>
      </c>
      <c r="D32" s="5">
        <v>12683</v>
      </c>
      <c r="E32" s="5"/>
    </row>
    <row r="33" spans="1:5" x14ac:dyDescent="0.25">
      <c r="A33" s="1" t="s">
        <v>70</v>
      </c>
      <c r="B33" s="5">
        <v>9508023</v>
      </c>
      <c r="C33" s="5">
        <v>9197116</v>
      </c>
      <c r="D33" s="5">
        <v>9249819</v>
      </c>
      <c r="E33" s="5"/>
    </row>
    <row r="34" spans="1:5" x14ac:dyDescent="0.25">
      <c r="A34" s="1" t="s">
        <v>71</v>
      </c>
      <c r="B34" s="5">
        <v>48929582</v>
      </c>
      <c r="C34" s="5">
        <v>51267712</v>
      </c>
      <c r="D34" s="5">
        <v>50182134</v>
      </c>
      <c r="E34" s="5"/>
    </row>
    <row r="35" spans="1:5" x14ac:dyDescent="0.25">
      <c r="A35" s="1" t="s">
        <v>72</v>
      </c>
      <c r="B35" s="5">
        <v>9798343</v>
      </c>
      <c r="C35" s="5">
        <v>6492532</v>
      </c>
      <c r="D35" s="5">
        <v>12133459</v>
      </c>
      <c r="E35" s="5"/>
    </row>
    <row r="36" spans="1:5" x14ac:dyDescent="0.25">
      <c r="A36" s="1" t="s">
        <v>73</v>
      </c>
      <c r="B36" s="5">
        <v>14599887</v>
      </c>
      <c r="C36" s="5">
        <v>15340071</v>
      </c>
      <c r="D36" s="5">
        <v>16162821</v>
      </c>
      <c r="E36" s="5"/>
    </row>
    <row r="37" spans="1:5" x14ac:dyDescent="0.25">
      <c r="A37" s="1" t="s">
        <v>74</v>
      </c>
      <c r="B37" s="5">
        <v>78066236</v>
      </c>
      <c r="C37" s="5">
        <v>80316561</v>
      </c>
      <c r="D37" s="5">
        <v>88713790</v>
      </c>
      <c r="E37" s="5"/>
    </row>
    <row r="38" spans="1:5" x14ac:dyDescent="0.25">
      <c r="A38" s="1" t="s">
        <v>75</v>
      </c>
      <c r="B38" s="5">
        <v>10396223</v>
      </c>
      <c r="C38" s="5">
        <v>10396223</v>
      </c>
      <c r="D38" s="5">
        <v>10396223</v>
      </c>
      <c r="E38" s="5"/>
    </row>
    <row r="39" spans="1:5" x14ac:dyDescent="0.25">
      <c r="A39" s="1" t="s">
        <v>76</v>
      </c>
      <c r="B39" s="5">
        <v>90300</v>
      </c>
      <c r="C39" s="5">
        <v>91067</v>
      </c>
      <c r="D39" s="5">
        <v>91958</v>
      </c>
      <c r="E39" s="5"/>
    </row>
    <row r="40" spans="1:5" x14ac:dyDescent="0.25">
      <c r="A40" s="1" t="s">
        <v>77</v>
      </c>
      <c r="B40" s="5">
        <v>1019411</v>
      </c>
      <c r="C40" s="5">
        <v>1282129</v>
      </c>
      <c r="D40" s="5">
        <v>1326600</v>
      </c>
      <c r="E40" s="5"/>
    </row>
    <row r="41" spans="1:5" x14ac:dyDescent="0.25">
      <c r="A41" s="1" t="s">
        <v>78</v>
      </c>
      <c r="B41" s="5">
        <v>943266</v>
      </c>
      <c r="C41" s="5">
        <v>1562588</v>
      </c>
      <c r="D41" s="5">
        <v>1308063</v>
      </c>
      <c r="E41" s="5"/>
    </row>
    <row r="42" spans="1:5" x14ac:dyDescent="0.25">
      <c r="A42" s="1" t="s">
        <v>79</v>
      </c>
      <c r="B42" s="5">
        <v>85480</v>
      </c>
      <c r="C42" s="5">
        <v>85480</v>
      </c>
      <c r="D42" s="5">
        <v>193056</v>
      </c>
      <c r="E42" s="5"/>
    </row>
    <row r="43" spans="1:5" x14ac:dyDescent="0.25">
      <c r="A43" s="1" t="s">
        <v>80</v>
      </c>
      <c r="B43" s="5">
        <v>6340077</v>
      </c>
      <c r="C43" s="5">
        <v>5497323</v>
      </c>
      <c r="D43" s="5">
        <v>5858362</v>
      </c>
      <c r="E43" s="5"/>
    </row>
    <row r="44" spans="1:5" x14ac:dyDescent="0.25">
      <c r="A44" s="1" t="s">
        <v>81</v>
      </c>
      <c r="B44" s="5">
        <v>3300753</v>
      </c>
      <c r="C44" s="5">
        <v>3338623</v>
      </c>
      <c r="D44" s="5">
        <v>3803716</v>
      </c>
      <c r="E44" s="5"/>
    </row>
    <row r="45" spans="1:5" x14ac:dyDescent="0.25">
      <c r="A45" s="1" t="s">
        <v>82</v>
      </c>
      <c r="B45" s="5">
        <v>6351627</v>
      </c>
      <c r="C45" s="5">
        <v>14729512</v>
      </c>
      <c r="D45" s="5">
        <v>15164601</v>
      </c>
      <c r="E45" s="5"/>
    </row>
    <row r="46" spans="1:5" x14ac:dyDescent="0.25">
      <c r="A46" s="1" t="s">
        <v>83</v>
      </c>
      <c r="B46" s="5">
        <v>1608202</v>
      </c>
      <c r="C46" s="5">
        <v>1653264</v>
      </c>
      <c r="D46" s="5">
        <v>1941914</v>
      </c>
      <c r="E46" s="5"/>
    </row>
    <row r="47" spans="1:5" x14ac:dyDescent="0.25">
      <c r="A47" s="1" t="s">
        <v>84</v>
      </c>
      <c r="B47" s="5">
        <v>37844507</v>
      </c>
      <c r="C47" s="5">
        <v>42277693</v>
      </c>
      <c r="D47" s="5">
        <v>42561437</v>
      </c>
      <c r="E47" s="5"/>
    </row>
    <row r="48" spans="1:5" x14ac:dyDescent="0.25">
      <c r="A48" s="1" t="s">
        <v>85</v>
      </c>
      <c r="B48" s="5">
        <v>108883539</v>
      </c>
      <c r="C48" s="5">
        <v>107771441</v>
      </c>
      <c r="D48" s="5">
        <v>120598789</v>
      </c>
      <c r="E48" s="5"/>
    </row>
    <row r="49" spans="1:5" x14ac:dyDescent="0.25">
      <c r="A49" s="1" t="s">
        <v>86</v>
      </c>
      <c r="B49" s="5">
        <v>95046407</v>
      </c>
      <c r="C49" s="5">
        <v>92767824</v>
      </c>
      <c r="D49" s="5">
        <v>94547458</v>
      </c>
      <c r="E49" s="5"/>
    </row>
    <row r="50" spans="1:5" x14ac:dyDescent="0.25">
      <c r="A50" s="1" t="s">
        <v>87</v>
      </c>
      <c r="B50" s="5">
        <v>10002893</v>
      </c>
      <c r="C50" s="5">
        <v>9742965</v>
      </c>
      <c r="D50" s="5">
        <v>10365126</v>
      </c>
      <c r="E50" s="5"/>
    </row>
    <row r="51" spans="1:5" x14ac:dyDescent="0.25">
      <c r="A51" s="1" t="s">
        <v>88</v>
      </c>
      <c r="B51" s="5">
        <v>100621533</v>
      </c>
      <c r="C51" s="5">
        <v>109990178</v>
      </c>
      <c r="D51" s="5">
        <v>119105276</v>
      </c>
      <c r="E51" s="5"/>
    </row>
    <row r="52" spans="1:5" x14ac:dyDescent="0.25">
      <c r="A52" s="1" t="s">
        <v>89</v>
      </c>
      <c r="B52" s="5">
        <v>162306065</v>
      </c>
      <c r="C52" s="5">
        <v>177014453</v>
      </c>
      <c r="D52" s="5">
        <v>198083170</v>
      </c>
      <c r="E52" s="5"/>
    </row>
    <row r="53" spans="1:5" x14ac:dyDescent="0.25">
      <c r="A53" s="1" t="s">
        <v>90</v>
      </c>
      <c r="B53" s="5">
        <v>47847400</v>
      </c>
      <c r="C53" s="5">
        <v>52020658</v>
      </c>
      <c r="D53" s="5">
        <v>52926563</v>
      </c>
      <c r="E53" s="5"/>
    </row>
    <row r="54" spans="1:5" x14ac:dyDescent="0.25">
      <c r="A54" s="1" t="s">
        <v>91</v>
      </c>
      <c r="B54" s="5">
        <v>0</v>
      </c>
      <c r="C54" s="5">
        <v>0</v>
      </c>
      <c r="D54" s="5">
        <v>0</v>
      </c>
      <c r="E54" s="5"/>
    </row>
    <row r="55" spans="1:5" x14ac:dyDescent="0.25">
      <c r="A55" s="1" t="s">
        <v>92</v>
      </c>
      <c r="B55" s="5">
        <v>257352472</v>
      </c>
      <c r="C55" s="5">
        <v>269782277</v>
      </c>
      <c r="D55" s="5">
        <v>292630628</v>
      </c>
      <c r="E55" s="5"/>
    </row>
    <row r="56" spans="1:5" x14ac:dyDescent="0.25">
      <c r="A56" s="1" t="s">
        <v>93</v>
      </c>
      <c r="B56" s="5">
        <v>209505072</v>
      </c>
      <c r="C56" s="5">
        <v>217761619</v>
      </c>
      <c r="D56" s="5">
        <v>239704065</v>
      </c>
      <c r="E56" s="5"/>
    </row>
    <row r="57" spans="1:5" x14ac:dyDescent="0.25">
      <c r="A57" s="1" t="s">
        <v>94</v>
      </c>
      <c r="B57" s="5">
        <v>257352472</v>
      </c>
      <c r="C57" s="5">
        <v>269782277</v>
      </c>
      <c r="D57" s="5">
        <v>292630628</v>
      </c>
      <c r="E57" s="5"/>
    </row>
    <row r="58" spans="1:5" x14ac:dyDescent="0.25">
      <c r="A58" s="1" t="s">
        <v>95</v>
      </c>
      <c r="B58" s="5">
        <v>0</v>
      </c>
      <c r="C58" s="5">
        <v>0</v>
      </c>
      <c r="D58" s="5">
        <v>0</v>
      </c>
      <c r="E58" s="5"/>
    </row>
    <row r="59" spans="1:5" x14ac:dyDescent="0.25">
      <c r="A59" s="1" t="s">
        <v>179</v>
      </c>
      <c r="B59" s="5">
        <f>(E21+B21)/2</f>
        <v>22548914.5</v>
      </c>
      <c r="C59" s="5">
        <f>(B21+C21)/2</f>
        <v>23529666.5</v>
      </c>
      <c r="D59" s="5">
        <f>(C21+D21)/2</f>
        <v>25170527</v>
      </c>
      <c r="E59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BB289-75BD-42DC-A976-D54DB41143E9}">
  <sheetPr codeName="工作表3"/>
  <dimension ref="A1:D75"/>
  <sheetViews>
    <sheetView workbookViewId="0">
      <selection sqref="A1:D10"/>
    </sheetView>
  </sheetViews>
  <sheetFormatPr defaultRowHeight="16.5" x14ac:dyDescent="0.25"/>
  <cols>
    <col min="1" max="1" width="67.125" bestFit="1" customWidth="1"/>
    <col min="2" max="3" width="14.75" style="5" bestFit="1" customWidth="1"/>
    <col min="4" max="4" width="15.875" style="5" bestFit="1" customWidth="1"/>
  </cols>
  <sheetData>
    <row r="1" spans="1:4" x14ac:dyDescent="0.25">
      <c r="A1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1" t="s">
        <v>96</v>
      </c>
      <c r="B2" s="5">
        <v>3791730</v>
      </c>
      <c r="C2" s="5">
        <v>-1138830</v>
      </c>
      <c r="D2" s="5">
        <v>2718947</v>
      </c>
    </row>
    <row r="3" spans="1:4" x14ac:dyDescent="0.25">
      <c r="A3" s="1" t="s">
        <v>97</v>
      </c>
      <c r="B3" s="5">
        <v>-271452</v>
      </c>
      <c r="C3" s="5">
        <v>-437971</v>
      </c>
      <c r="D3" s="5">
        <v>-64843</v>
      </c>
    </row>
    <row r="4" spans="1:4" x14ac:dyDescent="0.25">
      <c r="A4" s="1" t="s">
        <v>98</v>
      </c>
      <c r="B4" s="5">
        <v>266640</v>
      </c>
      <c r="C4" s="5">
        <v>-426833</v>
      </c>
      <c r="D4" s="5">
        <v>264865</v>
      </c>
    </row>
    <row r="5" spans="1:4" x14ac:dyDescent="0.25">
      <c r="A5" s="1" t="s">
        <v>99</v>
      </c>
      <c r="B5" s="5">
        <v>551842</v>
      </c>
      <c r="C5" s="5">
        <v>1129646</v>
      </c>
      <c r="D5" s="5">
        <v>551061</v>
      </c>
    </row>
    <row r="6" spans="1:4" x14ac:dyDescent="0.25">
      <c r="A6" s="1" t="s">
        <v>100</v>
      </c>
      <c r="B6" s="5">
        <v>-1756923</v>
      </c>
      <c r="C6" s="5">
        <v>-204581</v>
      </c>
      <c r="D6" s="5">
        <v>-3077140</v>
      </c>
    </row>
    <row r="7" spans="1:4" x14ac:dyDescent="0.25">
      <c r="A7" s="1" t="s">
        <v>101</v>
      </c>
      <c r="B7" s="5">
        <v>-398998</v>
      </c>
      <c r="C7" s="5">
        <v>-596418</v>
      </c>
      <c r="D7" s="5">
        <v>388848</v>
      </c>
    </row>
    <row r="8" spans="1:4" x14ac:dyDescent="0.25">
      <c r="A8" s="1" t="s">
        <v>102</v>
      </c>
      <c r="B8" s="5">
        <v>3229103</v>
      </c>
      <c r="C8" s="5">
        <v>2799558</v>
      </c>
      <c r="D8" s="5">
        <v>-3138807</v>
      </c>
    </row>
    <row r="9" spans="1:4" x14ac:dyDescent="0.25">
      <c r="A9" s="1" t="s">
        <v>103</v>
      </c>
      <c r="B9" s="5">
        <v>-473</v>
      </c>
      <c r="C9" s="5">
        <v>-1157619</v>
      </c>
      <c r="D9" s="5">
        <v>-79707</v>
      </c>
    </row>
    <row r="10" spans="1:4" x14ac:dyDescent="0.25">
      <c r="A10" s="1" t="s">
        <v>104</v>
      </c>
      <c r="B10" s="5">
        <v>-676022</v>
      </c>
      <c r="C10" s="5">
        <v>-320073</v>
      </c>
      <c r="D10" s="5">
        <v>-43760</v>
      </c>
    </row>
    <row r="11" spans="1:4" x14ac:dyDescent="0.25">
      <c r="A11" s="1" t="s">
        <v>105</v>
      </c>
      <c r="B11" s="5">
        <v>-144006</v>
      </c>
      <c r="C11" s="5">
        <v>-185094</v>
      </c>
      <c r="D11" s="5">
        <v>-43623</v>
      </c>
    </row>
    <row r="12" spans="1:4" x14ac:dyDescent="0.25">
      <c r="A12" s="1" t="s">
        <v>106</v>
      </c>
      <c r="B12" s="5">
        <v>7553338</v>
      </c>
      <c r="C12" s="5">
        <v>1893416</v>
      </c>
      <c r="D12" s="5">
        <v>-78065</v>
      </c>
    </row>
    <row r="13" spans="1:4" x14ac:dyDescent="0.25">
      <c r="A13" s="1" t="s">
        <v>107</v>
      </c>
      <c r="B13" s="5">
        <v>-2358134</v>
      </c>
      <c r="C13" s="5">
        <v>-2048412</v>
      </c>
      <c r="D13" s="5">
        <v>-2820680</v>
      </c>
    </row>
    <row r="14" spans="1:4" x14ac:dyDescent="0.25">
      <c r="A14" s="1" t="s">
        <v>108</v>
      </c>
      <c r="B14" s="5">
        <v>478621</v>
      </c>
      <c r="C14" s="5">
        <v>-62536</v>
      </c>
      <c r="D14" s="5">
        <v>-288650</v>
      </c>
    </row>
    <row r="15" spans="1:4" x14ac:dyDescent="0.25">
      <c r="A15" s="1" t="s">
        <v>109</v>
      </c>
      <c r="B15" s="5">
        <v>125142</v>
      </c>
      <c r="C15" s="5">
        <v>445755</v>
      </c>
      <c r="D15" s="5">
        <v>-85936</v>
      </c>
    </row>
    <row r="16" spans="1:4" x14ac:dyDescent="0.25">
      <c r="A16" s="1" t="s">
        <v>110</v>
      </c>
      <c r="B16" s="5">
        <v>-102182</v>
      </c>
      <c r="C16" s="5">
        <v>-90919</v>
      </c>
      <c r="D16" s="5">
        <v>-127205</v>
      </c>
    </row>
    <row r="17" spans="1:4" x14ac:dyDescent="0.25">
      <c r="A17" s="1" t="s">
        <v>111</v>
      </c>
      <c r="B17" s="5">
        <v>-1569505</v>
      </c>
      <c r="C17" s="5">
        <v>-1754562</v>
      </c>
      <c r="D17" s="5">
        <v>-1463634</v>
      </c>
    </row>
    <row r="18" spans="1:4" x14ac:dyDescent="0.25">
      <c r="A18" s="1" t="s">
        <v>112</v>
      </c>
      <c r="B18" s="5">
        <v>1379574</v>
      </c>
      <c r="C18" s="5">
        <v>1620707</v>
      </c>
      <c r="D18" s="5">
        <v>2080499</v>
      </c>
    </row>
    <row r="19" spans="1:4" x14ac:dyDescent="0.25">
      <c r="A19" s="1" t="s">
        <v>113</v>
      </c>
      <c r="B19" s="5">
        <v>23045062</v>
      </c>
      <c r="C19" s="5">
        <v>24210246</v>
      </c>
      <c r="D19" s="5">
        <v>25806858</v>
      </c>
    </row>
    <row r="20" spans="1:4" x14ac:dyDescent="0.25">
      <c r="A20" s="1" t="s">
        <v>114</v>
      </c>
      <c r="B20" s="5">
        <v>-202535</v>
      </c>
      <c r="C20" s="5">
        <v>-332347</v>
      </c>
      <c r="D20" s="5">
        <v>-336556</v>
      </c>
    </row>
    <row r="21" spans="1:4" x14ac:dyDescent="0.25">
      <c r="A21" s="1" t="s">
        <v>115</v>
      </c>
      <c r="B21" s="5">
        <v>711751</v>
      </c>
      <c r="C21" s="5">
        <v>775125</v>
      </c>
      <c r="D21" s="5">
        <v>773207</v>
      </c>
    </row>
    <row r="22" spans="1:4" x14ac:dyDescent="0.25">
      <c r="A22" s="1" t="s">
        <v>116</v>
      </c>
      <c r="B22" s="5">
        <v>23294274</v>
      </c>
      <c r="C22" s="5">
        <v>24073396</v>
      </c>
      <c r="D22" s="5">
        <v>26590781</v>
      </c>
    </row>
    <row r="23" spans="1:4" x14ac:dyDescent="0.25">
      <c r="A23" s="1" t="s">
        <v>117</v>
      </c>
      <c r="B23" s="5">
        <v>-53884</v>
      </c>
      <c r="C23" s="5">
        <v>-102587</v>
      </c>
      <c r="D23" s="5">
        <v>-121042</v>
      </c>
    </row>
    <row r="24" spans="1:4" x14ac:dyDescent="0.25">
      <c r="A24" s="1" t="s">
        <v>118</v>
      </c>
      <c r="B24" s="5">
        <v>5195204</v>
      </c>
      <c r="C24" s="5">
        <v>-154996</v>
      </c>
      <c r="D24" s="5">
        <v>-2898745</v>
      </c>
    </row>
    <row r="25" spans="1:4" x14ac:dyDescent="0.25">
      <c r="A25" s="1" t="s">
        <v>119</v>
      </c>
      <c r="B25" s="5">
        <v>62045</v>
      </c>
      <c r="C25" s="5">
        <v>42594</v>
      </c>
      <c r="D25" s="5">
        <v>63989</v>
      </c>
    </row>
    <row r="26" spans="1:4" x14ac:dyDescent="0.25">
      <c r="A26" s="1" t="s">
        <v>120</v>
      </c>
      <c r="B26" s="5">
        <v>365</v>
      </c>
      <c r="C26" s="5">
        <v>-1835</v>
      </c>
      <c r="D26" s="5">
        <v>-3742</v>
      </c>
    </row>
    <row r="27" spans="1:4" x14ac:dyDescent="0.25">
      <c r="A27" s="1" t="s">
        <v>121</v>
      </c>
      <c r="C27" s="5">
        <v>-292954</v>
      </c>
      <c r="D27" s="5">
        <v>0</v>
      </c>
    </row>
    <row r="28" spans="1:4" x14ac:dyDescent="0.25">
      <c r="A28" s="1" t="s">
        <v>122</v>
      </c>
      <c r="B28" s="5">
        <v>-13078</v>
      </c>
      <c r="C28" s="5">
        <v>-22904</v>
      </c>
      <c r="D28" s="5">
        <v>-134323</v>
      </c>
    </row>
    <row r="29" spans="1:4" x14ac:dyDescent="0.25">
      <c r="A29" s="1" t="s">
        <v>123</v>
      </c>
      <c r="D29" s="5">
        <v>48574</v>
      </c>
    </row>
    <row r="30" spans="1:4" x14ac:dyDescent="0.25">
      <c r="A30" s="1" t="s">
        <v>124</v>
      </c>
      <c r="B30" s="5">
        <v>36661</v>
      </c>
      <c r="C30" s="5">
        <v>22832</v>
      </c>
      <c r="D30" s="5">
        <v>4156</v>
      </c>
    </row>
    <row r="31" spans="1:4" x14ac:dyDescent="0.25">
      <c r="A31" s="1" t="s">
        <v>125</v>
      </c>
      <c r="B31" s="5">
        <v>28489478</v>
      </c>
      <c r="C31" s="5">
        <v>23918400</v>
      </c>
      <c r="D31" s="5">
        <v>23692036</v>
      </c>
    </row>
    <row r="32" spans="1:4" x14ac:dyDescent="0.25">
      <c r="A32" s="1" t="s">
        <v>126</v>
      </c>
      <c r="B32" s="5">
        <v>-365539</v>
      </c>
      <c r="C32" s="5">
        <v>-36101245</v>
      </c>
      <c r="D32" s="5">
        <v>-51033846</v>
      </c>
    </row>
    <row r="33" spans="1:4" x14ac:dyDescent="0.25">
      <c r="A33" s="1" t="s">
        <v>127</v>
      </c>
      <c r="D33" s="5">
        <v>172994</v>
      </c>
    </row>
    <row r="34" spans="1:4" x14ac:dyDescent="0.25">
      <c r="A34" s="1" t="s">
        <v>128</v>
      </c>
      <c r="B34" s="5">
        <v>-302</v>
      </c>
      <c r="C34" s="5">
        <v>-181</v>
      </c>
      <c r="D34" s="5">
        <v>-118</v>
      </c>
    </row>
    <row r="35" spans="1:4" x14ac:dyDescent="0.25">
      <c r="A35" s="1" t="s">
        <v>129</v>
      </c>
      <c r="B35" s="5">
        <v>26981</v>
      </c>
      <c r="C35" s="5">
        <v>664</v>
      </c>
      <c r="D35" s="5">
        <v>162975</v>
      </c>
    </row>
    <row r="36" spans="1:4" x14ac:dyDescent="0.25">
      <c r="A36" s="1" t="s">
        <v>130</v>
      </c>
      <c r="B36" s="5">
        <v>0</v>
      </c>
    </row>
    <row r="37" spans="1:4" x14ac:dyDescent="0.25">
      <c r="A37" s="1" t="s">
        <v>131</v>
      </c>
      <c r="B37" s="5">
        <v>-950903</v>
      </c>
      <c r="C37" s="5">
        <v>0</v>
      </c>
    </row>
    <row r="38" spans="1:4" x14ac:dyDescent="0.25">
      <c r="A38" s="1" t="s">
        <v>132</v>
      </c>
      <c r="C38" s="5">
        <v>146916</v>
      </c>
      <c r="D38" s="5">
        <v>163652</v>
      </c>
    </row>
    <row r="39" spans="1:4" x14ac:dyDescent="0.25">
      <c r="A39" s="1" t="s">
        <v>133</v>
      </c>
      <c r="B39" s="5">
        <v>-12565647</v>
      </c>
      <c r="C39" s="5">
        <v>-14652109</v>
      </c>
      <c r="D39" s="5">
        <v>-17062400</v>
      </c>
    </row>
    <row r="40" spans="1:4" x14ac:dyDescent="0.25">
      <c r="A40" s="1" t="s">
        <v>134</v>
      </c>
      <c r="B40" s="5">
        <v>0</v>
      </c>
      <c r="D40" s="5">
        <v>-524254</v>
      </c>
    </row>
    <row r="41" spans="1:4" x14ac:dyDescent="0.25">
      <c r="A41" s="1" t="s">
        <v>135</v>
      </c>
      <c r="B41" s="5">
        <v>-428782</v>
      </c>
      <c r="C41" s="5">
        <v>0</v>
      </c>
    </row>
    <row r="42" spans="1:4" x14ac:dyDescent="0.25">
      <c r="A42" s="1" t="s">
        <v>136</v>
      </c>
      <c r="B42" s="5">
        <v>-6978609</v>
      </c>
      <c r="C42" s="5">
        <v>-219974</v>
      </c>
      <c r="D42" s="5">
        <v>-294617</v>
      </c>
    </row>
    <row r="43" spans="1:4" x14ac:dyDescent="0.25">
      <c r="A43" s="1" t="s">
        <v>137</v>
      </c>
      <c r="B43" s="5">
        <v>-5442963</v>
      </c>
      <c r="C43" s="5">
        <v>0</v>
      </c>
    </row>
    <row r="44" spans="1:4" x14ac:dyDescent="0.25">
      <c r="A44" s="1" t="s">
        <v>138</v>
      </c>
      <c r="B44" s="5">
        <v>-446732</v>
      </c>
      <c r="C44" s="5">
        <v>-345625</v>
      </c>
      <c r="D44" s="5">
        <v>-685241</v>
      </c>
    </row>
    <row r="45" spans="1:4" x14ac:dyDescent="0.25">
      <c r="A45" s="1" t="s">
        <v>139</v>
      </c>
      <c r="B45" s="5">
        <v>242016</v>
      </c>
      <c r="C45" s="5">
        <v>10246</v>
      </c>
      <c r="D45" s="5">
        <v>-60506</v>
      </c>
    </row>
    <row r="46" spans="1:4" x14ac:dyDescent="0.25">
      <c r="A46" s="1" t="s">
        <v>140</v>
      </c>
      <c r="D46" s="5">
        <v>0</v>
      </c>
    </row>
    <row r="47" spans="1:4" x14ac:dyDescent="0.25">
      <c r="A47" s="1" t="s">
        <v>141</v>
      </c>
      <c r="B47" s="5">
        <v>-180075</v>
      </c>
      <c r="C47" s="5">
        <v>-365472</v>
      </c>
      <c r="D47" s="5">
        <v>-155575</v>
      </c>
    </row>
    <row r="48" spans="1:4" x14ac:dyDescent="0.25">
      <c r="A48" s="1" t="s">
        <v>142</v>
      </c>
      <c r="B48" s="5">
        <v>3497090</v>
      </c>
      <c r="C48" s="5">
        <v>22234373</v>
      </c>
      <c r="D48" s="5">
        <v>74929915</v>
      </c>
    </row>
    <row r="49" spans="1:4" x14ac:dyDescent="0.25">
      <c r="A49" s="1" t="s">
        <v>143</v>
      </c>
      <c r="C49" s="5">
        <v>-23633322</v>
      </c>
      <c r="D49" s="5">
        <v>-70035517</v>
      </c>
    </row>
    <row r="50" spans="1:4" x14ac:dyDescent="0.25">
      <c r="A50" s="1" t="s">
        <v>144</v>
      </c>
      <c r="B50" s="5">
        <v>-27008873</v>
      </c>
      <c r="C50" s="5">
        <v>-12838481</v>
      </c>
      <c r="D50" s="5">
        <v>-21838846</v>
      </c>
    </row>
    <row r="51" spans="1:4" x14ac:dyDescent="0.25">
      <c r="A51" s="1" t="s">
        <v>145</v>
      </c>
      <c r="B51" s="5">
        <v>-1379605</v>
      </c>
      <c r="C51" s="5">
        <v>-1620603</v>
      </c>
      <c r="D51" s="5">
        <v>-2080699</v>
      </c>
    </row>
    <row r="52" spans="1:4" x14ac:dyDescent="0.25">
      <c r="A52" s="1" t="s">
        <v>146</v>
      </c>
      <c r="B52" s="5">
        <v>1492773</v>
      </c>
      <c r="C52" s="5">
        <v>1517041</v>
      </c>
      <c r="D52" s="5">
        <v>1593085</v>
      </c>
    </row>
    <row r="53" spans="1:4" x14ac:dyDescent="0.25">
      <c r="A53" s="1" t="s">
        <v>147</v>
      </c>
      <c r="B53" s="5">
        <v>598760</v>
      </c>
      <c r="C53" s="5">
        <v>207152</v>
      </c>
      <c r="D53" s="5">
        <v>330492</v>
      </c>
    </row>
    <row r="54" spans="1:4" x14ac:dyDescent="0.25">
      <c r="A54" s="1" t="s">
        <v>148</v>
      </c>
      <c r="B54" s="5">
        <v>16357359</v>
      </c>
      <c r="C54" s="5">
        <v>17361587</v>
      </c>
      <c r="D54" s="5">
        <v>16945041</v>
      </c>
    </row>
    <row r="55" spans="1:4" x14ac:dyDescent="0.25">
      <c r="A55" s="1" t="s">
        <v>149</v>
      </c>
      <c r="B55" s="5">
        <v>44846837</v>
      </c>
      <c r="C55" s="5">
        <v>41279987</v>
      </c>
      <c r="D55" s="5">
        <v>40637077</v>
      </c>
    </row>
    <row r="56" spans="1:4" x14ac:dyDescent="0.25">
      <c r="A56" s="1" t="s">
        <v>150</v>
      </c>
      <c r="B56" s="5">
        <v>-10590115</v>
      </c>
      <c r="C56" s="5">
        <v>-12066225</v>
      </c>
      <c r="D56" s="5">
        <v>-10671685</v>
      </c>
    </row>
    <row r="57" spans="1:4" x14ac:dyDescent="0.25">
      <c r="A57" s="1" t="s">
        <v>151</v>
      </c>
      <c r="B57" s="5">
        <v>547821</v>
      </c>
      <c r="C57" s="5">
        <v>86601309</v>
      </c>
      <c r="D57" s="5">
        <v>107070363</v>
      </c>
    </row>
    <row r="58" spans="1:4" x14ac:dyDescent="0.25">
      <c r="A58" s="1" t="s">
        <v>152</v>
      </c>
      <c r="C58" s="5">
        <v>-89915205</v>
      </c>
      <c r="D58" s="5">
        <v>-101420737</v>
      </c>
    </row>
    <row r="59" spans="1:4" x14ac:dyDescent="0.25">
      <c r="A59" s="1" t="s">
        <v>153</v>
      </c>
      <c r="B59" s="5">
        <v>-14415894</v>
      </c>
      <c r="C59" s="5">
        <v>-14832900</v>
      </c>
      <c r="D59" s="5">
        <v>-15334668</v>
      </c>
    </row>
    <row r="60" spans="1:4" x14ac:dyDescent="0.25">
      <c r="A60" s="1" t="s">
        <v>154</v>
      </c>
      <c r="B60" s="5">
        <v>-14937930</v>
      </c>
      <c r="C60" s="5">
        <v>-23331552</v>
      </c>
      <c r="D60" s="5">
        <v>-14355820</v>
      </c>
    </row>
    <row r="61" spans="1:4" x14ac:dyDescent="0.25">
      <c r="A61" s="1" t="s">
        <v>155</v>
      </c>
      <c r="B61" s="5">
        <v>16357359</v>
      </c>
      <c r="C61" s="5">
        <v>17361587</v>
      </c>
      <c r="D61" s="5">
        <v>16945041</v>
      </c>
    </row>
    <row r="62" spans="1:4" x14ac:dyDescent="0.25">
      <c r="A62" s="1" t="s">
        <v>156</v>
      </c>
      <c r="B62" s="5">
        <v>6111368</v>
      </c>
      <c r="C62" s="5">
        <v>44432317</v>
      </c>
      <c r="D62" s="5">
        <v>52582850</v>
      </c>
    </row>
    <row r="63" spans="1:4" x14ac:dyDescent="0.25">
      <c r="A63" s="1" t="s">
        <v>157</v>
      </c>
      <c r="B63" s="5">
        <v>284838</v>
      </c>
      <c r="C63" s="5">
        <v>379780</v>
      </c>
      <c r="D63" s="5">
        <v>210213</v>
      </c>
    </row>
    <row r="64" spans="1:4" x14ac:dyDescent="0.25">
      <c r="A64" s="1" t="s">
        <v>158</v>
      </c>
      <c r="C64" s="5">
        <v>88804</v>
      </c>
      <c r="D64" s="5">
        <v>0</v>
      </c>
    </row>
    <row r="65" spans="1:4" x14ac:dyDescent="0.25">
      <c r="A65" s="1" t="s">
        <v>159</v>
      </c>
      <c r="B65" s="5">
        <v>0</v>
      </c>
      <c r="C65" s="5">
        <v>17931</v>
      </c>
      <c r="D65" s="5">
        <v>5000</v>
      </c>
    </row>
    <row r="66" spans="1:4" x14ac:dyDescent="0.25">
      <c r="A66" s="1" t="s">
        <v>160</v>
      </c>
      <c r="C66" s="5">
        <v>7211268</v>
      </c>
      <c r="D66" s="5">
        <v>101601</v>
      </c>
    </row>
    <row r="67" spans="1:4" x14ac:dyDescent="0.25">
      <c r="A67" s="1" t="s">
        <v>161</v>
      </c>
      <c r="B67" s="5">
        <v>48929582</v>
      </c>
      <c r="C67" s="5">
        <v>51267712</v>
      </c>
      <c r="D67" s="5">
        <v>50182134</v>
      </c>
    </row>
    <row r="68" spans="1:4" x14ac:dyDescent="0.25">
      <c r="A68" s="1" t="s">
        <v>162</v>
      </c>
      <c r="B68" s="5">
        <v>-3170251</v>
      </c>
      <c r="C68" s="5">
        <v>-4622679</v>
      </c>
      <c r="D68" s="5">
        <v>-3970229</v>
      </c>
    </row>
    <row r="69" spans="1:4" x14ac:dyDescent="0.25">
      <c r="A69" s="1" t="s">
        <v>163</v>
      </c>
      <c r="B69" s="5">
        <v>8644</v>
      </c>
      <c r="C69" s="5">
        <v>-61383</v>
      </c>
      <c r="D69" s="5">
        <v>-20592</v>
      </c>
    </row>
    <row r="70" spans="1:4" x14ac:dyDescent="0.25">
      <c r="A70" s="1" t="s">
        <v>164</v>
      </c>
      <c r="B70" s="5">
        <v>-300000</v>
      </c>
      <c r="C70" s="5">
        <v>-5100000</v>
      </c>
      <c r="D70" s="5">
        <v>-4294473</v>
      </c>
    </row>
    <row r="71" spans="1:4" x14ac:dyDescent="0.25">
      <c r="A71" s="1" t="s">
        <v>165</v>
      </c>
      <c r="B71" s="5">
        <v>-52507</v>
      </c>
      <c r="C71" s="5">
        <v>1747265</v>
      </c>
      <c r="D71" s="5">
        <v>-1400638</v>
      </c>
    </row>
    <row r="72" spans="1:4" x14ac:dyDescent="0.25">
      <c r="A72" s="1" t="s">
        <v>166</v>
      </c>
      <c r="B72" s="5">
        <v>48540378</v>
      </c>
      <c r="C72" s="5">
        <v>48929582</v>
      </c>
      <c r="D72" s="5">
        <v>51267712</v>
      </c>
    </row>
    <row r="73" spans="1:4" x14ac:dyDescent="0.25">
      <c r="A73" s="1" t="s">
        <v>167</v>
      </c>
      <c r="B73" s="5">
        <v>48929582</v>
      </c>
      <c r="C73" s="5">
        <v>51267712</v>
      </c>
      <c r="D73" s="5">
        <v>50182134</v>
      </c>
    </row>
    <row r="74" spans="1:4" x14ac:dyDescent="0.25">
      <c r="A74" s="1" t="s">
        <v>168</v>
      </c>
      <c r="B74" s="5">
        <v>389204</v>
      </c>
      <c r="C74" s="5">
        <v>2338130</v>
      </c>
      <c r="D74" s="5">
        <v>-1085578</v>
      </c>
    </row>
    <row r="75" spans="1:4" x14ac:dyDescent="0.25">
      <c r="A75" s="1" t="s">
        <v>169</v>
      </c>
      <c r="B75" s="5">
        <v>42388514</v>
      </c>
      <c r="C75" s="5">
        <v>36760898</v>
      </c>
      <c r="D75" s="5">
        <v>36509726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5175-DC1C-42AC-842E-EC6C6581FBF7}">
  <sheetPr codeName="工作表4"/>
  <dimension ref="A1:D9"/>
  <sheetViews>
    <sheetView workbookViewId="0">
      <selection sqref="A1:D9"/>
    </sheetView>
  </sheetViews>
  <sheetFormatPr defaultRowHeight="16.5" x14ac:dyDescent="0.25"/>
  <cols>
    <col min="1" max="1" width="22.75" bestFit="1" customWidth="1"/>
    <col min="2" max="2" width="10.5" bestFit="1" customWidth="1"/>
  </cols>
  <sheetData>
    <row r="1" spans="1:4" x14ac:dyDescent="0.25">
      <c r="A1" s="2" t="s">
        <v>170</v>
      </c>
      <c r="B1" s="3">
        <v>2023</v>
      </c>
      <c r="C1" s="3">
        <v>2024</v>
      </c>
      <c r="D1" s="3">
        <v>2025</v>
      </c>
    </row>
    <row r="2" spans="1:4" x14ac:dyDescent="0.25">
      <c r="A2" t="s">
        <v>178</v>
      </c>
      <c r="B2" s="7">
        <f>_xlfn.XLOOKUP("營業毛利（毛損）淨額",綜合損益表[會計科目],綜合損益表[2023],0)/_xlfn.XLOOKUP("營業收入合計",綜合損益表[會計科目],綜合損益表[2023],0)</f>
        <v>0.34119225785249163</v>
      </c>
      <c r="C2" s="7">
        <f>_xlfn.XLOOKUP("營業毛利（毛損）淨額",綜合損益表[會計科目],綜合損益表[2024],0)/_xlfn.XLOOKUP("營業收入合計",綜合損益表[會計科目],綜合損益表[2024],0)</f>
        <v>0.34157053607381715</v>
      </c>
      <c r="D2" s="7">
        <f>_xlfn.XLOOKUP("營業毛利（毛損）淨額",綜合損益表[會計科目],綜合損益表[2025],0)/_xlfn.XLOOKUP("營業收入合計",綜合損益表[會計科目],綜合損益表[2025],0)</f>
        <v>0.34368242851757957</v>
      </c>
    </row>
    <row r="3" spans="1:4" x14ac:dyDescent="0.25">
      <c r="A3" t="s">
        <v>171</v>
      </c>
      <c r="B3" s="7">
        <f>_xlfn.XLOOKUP("營業利益（損失）",綜合損益表[會計科目],綜合損益表[2023],0)/_xlfn.XLOOKUP("營業收入合計",綜合損益表[會計科目],綜合損益表[2023],0)</f>
        <v>4.3371169536499117E-2</v>
      </c>
      <c r="C3" s="7">
        <f>_xlfn.XLOOKUP("營業利益（損失）",綜合損益表[會計科目],綜合損益表[2024],0)/_xlfn.XLOOKUP("營業收入合計",綜合損益表[會計科目],綜合損益表[2024],0)</f>
        <v>4.1347722574228363E-2</v>
      </c>
      <c r="D3" s="7">
        <f>_xlfn.XLOOKUP("營業利益（損失）",綜合損益表[會計科目],綜合損益表[2025],0)/_xlfn.XLOOKUP("營業收入合計",綜合損益表[會計科目],綜合損益表[2025],0)</f>
        <v>3.9716709892466812E-2</v>
      </c>
    </row>
    <row r="4" spans="1:4" x14ac:dyDescent="0.25">
      <c r="A4" t="s">
        <v>172</v>
      </c>
      <c r="B4" s="7">
        <f>_xlfn.XLOOKUP("本期淨利（淨損）",綜合損益表[會計科目],綜合損益表[2023],0)/_xlfn.XLOOKUP("營業收入合計",綜合損益表[會計科目],綜合損益表[2023],0)</f>
        <v>3.9935203634028714E-2</v>
      </c>
      <c r="C4" s="7">
        <f>_xlfn.XLOOKUP("本期淨利（淨損）",綜合損益表[會計科目],綜合損益表[2024],0)/_xlfn.XLOOKUP("營業收入合計",綜合損益表[會計科目],綜合損益表[2024],0)</f>
        <v>4.0663277986928252E-2</v>
      </c>
      <c r="D4" s="7">
        <f>_xlfn.XLOOKUP("本期淨利（淨損）",綜合損益表[會計科目],綜合損益表[2025],0)/_xlfn.XLOOKUP("營業收入合計",綜合損益表[會計科目],綜合損益表[2025],0)</f>
        <v>3.8018154873124564E-2</v>
      </c>
    </row>
    <row r="5" spans="1:4" x14ac:dyDescent="0.25">
      <c r="A5" t="s">
        <v>173</v>
      </c>
      <c r="B5" s="7">
        <f>_xlfn.XLOOKUP(綜合損益表!$A$28,綜合損益表!$A:$A,綜合損益表!B:B,0)/_xlfn.XLOOKUP(資產負債表!$A$53,資產負債表!$A:$A,資產負債表!B:B,0)</f>
        <v>0.26461481710604967</v>
      </c>
      <c r="C5" s="7">
        <f>_xlfn.XLOOKUP(綜合損益表!$A$28,綜合損益表!$A:$A,綜合損益表!C:C,0)/_xlfn.XLOOKUP(資產負債表!$A$53,資產負債表!$A:$A,資產負債表!C:C,0)</f>
        <v>0.26415350224904882</v>
      </c>
      <c r="D5" s="7">
        <f>_xlfn.XLOOKUP(綜合損益表!$A$28,綜合損益表!$A:$A,綜合損益表!D:D,0)/_xlfn.XLOOKUP(資產負債表!$A$53,資產負債表!$A:$A,資產負債表!D:D,0)</f>
        <v>0.25193931447995216</v>
      </c>
    </row>
    <row r="6" spans="1:4" x14ac:dyDescent="0.25">
      <c r="A6" t="s">
        <v>174</v>
      </c>
      <c r="B6" s="7">
        <f>_xlfn.XLOOKUP(綜合損益表!$A$28,綜合損益表!$A:$A,綜合損益表!B:B,0)/_xlfn.XLOOKUP(資產負債表!$A$57,資產負債表!$A:$A,資產負債表!B:B,0)</f>
        <v>4.9197627291491491E-2</v>
      </c>
      <c r="C6" s="7">
        <f>_xlfn.XLOOKUP(綜合損益表!$A$28,綜合損益表!$A:$A,綜合損益表!C:C,0)/_xlfn.XLOOKUP(資產負債表!$A$57,資產負債表!$A:$A,資產負債表!C:C,0)</f>
        <v>5.0935291794575517E-2</v>
      </c>
      <c r="D6" s="7">
        <f>_xlfn.XLOOKUP(綜合損益表!$A$28,綜合損益表!$A:$A,綜合損益表!D:D,0)/_xlfn.XLOOKUP(資產負債表!$A$57,資產負債表!$A:$A,資產負債表!D:D,0)</f>
        <v>4.5566939083355282E-2</v>
      </c>
    </row>
    <row r="7" spans="1:4" x14ac:dyDescent="0.25">
      <c r="A7" t="s">
        <v>175</v>
      </c>
      <c r="B7" s="7">
        <f>_xlfn.XLOOKUP(資產負債表!$A$56,資產負債表!$A:$A,資產負債表!B:B,0)/_xlfn.XLOOKUP(資產負債表!$A$57,資產負債表!$A:$A,資產負債表!B:B,0)</f>
        <v>0.8140783353345834</v>
      </c>
      <c r="C7" s="7">
        <f>_xlfn.XLOOKUP(資產負債表!$A$56,資產負債表!$A:$A,資產負債表!C:C,0)/_xlfn.XLOOKUP(資產負債表!$A$57,資產負債表!$A:$A,資產負債表!C:C,0)</f>
        <v>0.80717540611461291</v>
      </c>
      <c r="D7" s="7">
        <f>_xlfn.XLOOKUP(資產負債表!$A$56,資產負債表!$A:$A,資產負債表!D:D,0)/_xlfn.XLOOKUP(資產負債表!$A$57,資產負債表!$A:$A,資產負債表!D:D,0)</f>
        <v>0.81913525811795751</v>
      </c>
    </row>
    <row r="8" spans="1:4" x14ac:dyDescent="0.25">
      <c r="A8" t="s">
        <v>176</v>
      </c>
      <c r="B8" s="7">
        <f>_xlfn.XLOOKUP(資產負債表!$A$49,資產負債表!$A:$A,資產負債表!B:B,0)/_xlfn.XLOOKUP(資產負債表!$A$48,資產負債表!$A:$A,資產負債表!B:B,0)</f>
        <v>0.87291805421570656</v>
      </c>
      <c r="C8" s="7">
        <f>_xlfn.XLOOKUP(資產負債表!$A$49,資產負債表!$A:$A,資產負債表!C:C,0)/_xlfn.XLOOKUP(資產負債表!$A$48,資產負債表!$A:$A,資產負債表!C:C,0)</f>
        <v>0.86078299723207752</v>
      </c>
      <c r="D8" s="7">
        <f>_xlfn.XLOOKUP(資產負債表!$A$49,資產負債表!$A:$A,資產負債表!D:D,0)/_xlfn.XLOOKUP(資產負債表!$A$48,資產負債表!$A:$A,資產負債表!D:D,0)</f>
        <v>0.78398347764503673</v>
      </c>
    </row>
    <row r="9" spans="1:4" x14ac:dyDescent="0.25">
      <c r="A9" t="s">
        <v>182</v>
      </c>
      <c r="B9" s="4">
        <f>_xlfn.XLOOKUP(綜合損益表!$A$31,綜合損益表!$A:$A,綜合損益表!B:B,0)/_xlfn.XLOOKUP(資產負債表!$A$59,資產負債表!$A:$A,資產負債表!B:B,0)</f>
        <v>9.2629571148535774</v>
      </c>
      <c r="C9" s="4">
        <f>_xlfn.XLOOKUP(綜合損益表!$A$31,綜合損益表!$A:$A,綜合損益表!C:C,0)/_xlfn.XLOOKUP(資產負債表!$A$59,資產負債表!$A:$A,資產負債表!C:C,0)</f>
        <v>9.4563451207436362</v>
      </c>
      <c r="D9" s="4">
        <f>_xlfn.XLOOKUP(綜合損益表!$A$31,綜合損益表!$A:$A,綜合損益表!D:D,0)/_xlfn.XLOOKUP(資產負債表!$A$59,資產負債表!$A:$A,資產負債表!D:D,0)</f>
        <v>9.1453498371329296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B5FE-B7E8-4BFA-B96F-128A4B8216FD}">
  <sheetPr codeName="工作表5"/>
  <dimension ref="A1:C24"/>
  <sheetViews>
    <sheetView workbookViewId="0">
      <selection activeCell="L21" sqref="L21"/>
    </sheetView>
  </sheetViews>
  <sheetFormatPr defaultRowHeight="16.5" x14ac:dyDescent="0.25"/>
  <cols>
    <col min="1" max="1" width="13.875" bestFit="1" customWidth="1"/>
  </cols>
  <sheetData>
    <row r="1" spans="1:3" x14ac:dyDescent="0.25">
      <c r="A1" t="s">
        <v>177</v>
      </c>
      <c r="B1">
        <v>2023</v>
      </c>
      <c r="C1" s="7">
        <v>0.34119225785249163</v>
      </c>
    </row>
    <row r="2" spans="1:3" x14ac:dyDescent="0.25">
      <c r="A2" t="s">
        <v>177</v>
      </c>
      <c r="B2">
        <v>2024</v>
      </c>
      <c r="C2" s="7">
        <v>0.34157053607381715</v>
      </c>
    </row>
    <row r="3" spans="1:3" x14ac:dyDescent="0.25">
      <c r="A3" t="s">
        <v>177</v>
      </c>
      <c r="B3">
        <v>2025</v>
      </c>
      <c r="C3" s="7">
        <v>0.34368242851757957</v>
      </c>
    </row>
    <row r="4" spans="1:3" x14ac:dyDescent="0.25">
      <c r="A4" t="s">
        <v>171</v>
      </c>
      <c r="B4">
        <v>2023</v>
      </c>
      <c r="C4" s="7">
        <v>4.3371169536499117E-2</v>
      </c>
    </row>
    <row r="5" spans="1:3" x14ac:dyDescent="0.25">
      <c r="A5" t="s">
        <v>171</v>
      </c>
      <c r="B5">
        <v>2024</v>
      </c>
      <c r="C5" s="7">
        <v>4.1347722574228363E-2</v>
      </c>
    </row>
    <row r="6" spans="1:3" x14ac:dyDescent="0.25">
      <c r="A6" t="s">
        <v>171</v>
      </c>
      <c r="B6">
        <v>2025</v>
      </c>
      <c r="C6" s="7">
        <v>3.9716709892466812E-2</v>
      </c>
    </row>
    <row r="7" spans="1:3" x14ac:dyDescent="0.25">
      <c r="A7" t="s">
        <v>172</v>
      </c>
      <c r="B7">
        <v>2023</v>
      </c>
      <c r="C7" s="7">
        <v>3.9935203634028714E-2</v>
      </c>
    </row>
    <row r="8" spans="1:3" x14ac:dyDescent="0.25">
      <c r="A8" t="s">
        <v>172</v>
      </c>
      <c r="B8">
        <v>2024</v>
      </c>
      <c r="C8" s="7">
        <v>4.0663277986928252E-2</v>
      </c>
    </row>
    <row r="9" spans="1:3" x14ac:dyDescent="0.25">
      <c r="A9" t="s">
        <v>172</v>
      </c>
      <c r="B9">
        <v>2025</v>
      </c>
      <c r="C9" s="7">
        <v>3.8018154873124564E-2</v>
      </c>
    </row>
    <row r="10" spans="1:3" x14ac:dyDescent="0.25">
      <c r="A10" t="s">
        <v>173</v>
      </c>
      <c r="B10">
        <v>2023</v>
      </c>
      <c r="C10" s="7">
        <v>0.26461481710604967</v>
      </c>
    </row>
    <row r="11" spans="1:3" x14ac:dyDescent="0.25">
      <c r="A11" t="s">
        <v>173</v>
      </c>
      <c r="B11">
        <v>2024</v>
      </c>
      <c r="C11" s="7">
        <v>0.26415350224904882</v>
      </c>
    </row>
    <row r="12" spans="1:3" x14ac:dyDescent="0.25">
      <c r="A12" t="s">
        <v>173</v>
      </c>
      <c r="B12">
        <v>2025</v>
      </c>
      <c r="C12" s="7">
        <v>0.25193931447995216</v>
      </c>
    </row>
    <row r="13" spans="1:3" x14ac:dyDescent="0.25">
      <c r="A13" t="s">
        <v>174</v>
      </c>
      <c r="B13">
        <v>2023</v>
      </c>
      <c r="C13" s="7">
        <v>4.9197627291491491E-2</v>
      </c>
    </row>
    <row r="14" spans="1:3" x14ac:dyDescent="0.25">
      <c r="A14" t="s">
        <v>174</v>
      </c>
      <c r="B14">
        <v>2024</v>
      </c>
      <c r="C14" s="7">
        <v>5.0935291794575517E-2</v>
      </c>
    </row>
    <row r="15" spans="1:3" x14ac:dyDescent="0.25">
      <c r="A15" t="s">
        <v>174</v>
      </c>
      <c r="B15">
        <v>2025</v>
      </c>
      <c r="C15" s="7">
        <v>4.5566939083355282E-2</v>
      </c>
    </row>
    <row r="16" spans="1:3" x14ac:dyDescent="0.25">
      <c r="A16" t="s">
        <v>175</v>
      </c>
      <c r="B16">
        <v>2023</v>
      </c>
      <c r="C16" s="7">
        <v>0.8140783353345834</v>
      </c>
    </row>
    <row r="17" spans="1:3" x14ac:dyDescent="0.25">
      <c r="A17" t="s">
        <v>175</v>
      </c>
      <c r="B17">
        <v>2024</v>
      </c>
      <c r="C17" s="7">
        <v>0.80717540611461291</v>
      </c>
    </row>
    <row r="18" spans="1:3" x14ac:dyDescent="0.25">
      <c r="A18" t="s">
        <v>175</v>
      </c>
      <c r="B18">
        <v>2025</v>
      </c>
      <c r="C18" s="7">
        <v>0.81913525811795751</v>
      </c>
    </row>
    <row r="19" spans="1:3" x14ac:dyDescent="0.25">
      <c r="A19" t="s">
        <v>176</v>
      </c>
      <c r="B19">
        <v>2023</v>
      </c>
      <c r="C19" s="7">
        <v>0.87291805421570656</v>
      </c>
    </row>
    <row r="20" spans="1:3" x14ac:dyDescent="0.25">
      <c r="A20" t="s">
        <v>176</v>
      </c>
      <c r="B20">
        <v>2024</v>
      </c>
      <c r="C20" s="7">
        <v>0.86078299723207752</v>
      </c>
    </row>
    <row r="21" spans="1:3" x14ac:dyDescent="0.25">
      <c r="A21" t="s">
        <v>176</v>
      </c>
      <c r="B21">
        <v>2025</v>
      </c>
      <c r="C21" s="7">
        <v>0.78398347764503673</v>
      </c>
    </row>
    <row r="22" spans="1:3" x14ac:dyDescent="0.25">
      <c r="A22" t="s">
        <v>181</v>
      </c>
      <c r="B22">
        <v>2023</v>
      </c>
      <c r="C22" s="9">
        <v>9.2629571148535774</v>
      </c>
    </row>
    <row r="23" spans="1:3" x14ac:dyDescent="0.25">
      <c r="A23" t="s">
        <v>181</v>
      </c>
      <c r="B23">
        <v>2024</v>
      </c>
      <c r="C23" s="9">
        <v>9.4563451207436362</v>
      </c>
    </row>
    <row r="24" spans="1:3" x14ac:dyDescent="0.25">
      <c r="A24" t="s">
        <v>181</v>
      </c>
      <c r="B24">
        <v>2025</v>
      </c>
      <c r="C24" s="9">
        <v>9.1453498371329296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C4AEB-403D-496A-9562-DCF13876B21F}">
  <sheetPr codeName="工作表6"/>
  <dimension ref="A1:H23"/>
  <sheetViews>
    <sheetView workbookViewId="0">
      <selection activeCell="H8" sqref="H8"/>
    </sheetView>
  </sheetViews>
  <sheetFormatPr defaultRowHeight="16.5" x14ac:dyDescent="0.25"/>
  <cols>
    <col min="1" max="1" width="13.875" bestFit="1" customWidth="1"/>
    <col min="2" max="3" width="11.625" bestFit="1" customWidth="1"/>
  </cols>
  <sheetData>
    <row r="1" spans="1:8" x14ac:dyDescent="0.25">
      <c r="A1" s="10" t="s">
        <v>185</v>
      </c>
      <c r="B1" s="10"/>
      <c r="C1" s="10"/>
    </row>
    <row r="2" spans="1:8" x14ac:dyDescent="0.25">
      <c r="A2" t="s">
        <v>170</v>
      </c>
      <c r="B2" t="s">
        <v>183</v>
      </c>
      <c r="C2" t="s">
        <v>184</v>
      </c>
    </row>
    <row r="3" spans="1:8" x14ac:dyDescent="0.25">
      <c r="A3" t="s">
        <v>178</v>
      </c>
      <c r="B3" s="7">
        <f>(財務比率計算!C2-財務比率計算!B2)/財務比率計算!B2</f>
        <v>1.1086952081106863E-3</v>
      </c>
      <c r="C3" s="7">
        <f>(財務比率計算!D2-財務比率計算!C2)/財務比率計算!C2</f>
        <v>6.1828882199195792E-3</v>
      </c>
    </row>
    <row r="4" spans="1:8" x14ac:dyDescent="0.25">
      <c r="A4" t="s">
        <v>171</v>
      </c>
      <c r="B4" s="7">
        <f>(財務比率計算!C3-財務比率計算!B3)/財務比率計算!B3</f>
        <v>-4.665419410855217E-2</v>
      </c>
      <c r="C4" s="7">
        <f>(財務比率計算!D3-財務比率計算!C3)/財務比率計算!C3</f>
        <v>-3.9446251938870885E-2</v>
      </c>
    </row>
    <row r="5" spans="1:8" x14ac:dyDescent="0.25">
      <c r="A5" t="s">
        <v>172</v>
      </c>
      <c r="B5" s="7">
        <f>(財務比率計算!C4-財務比率計算!B4)/財務比率計算!B4</f>
        <v>1.8231392021227789E-2</v>
      </c>
      <c r="C5" s="7">
        <f>(財務比率計算!D4-財務比率計算!C4)/財務比率計算!C4</f>
        <v>-6.5049431446574421E-2</v>
      </c>
    </row>
    <row r="6" spans="1:8" x14ac:dyDescent="0.25">
      <c r="A6" t="s">
        <v>173</v>
      </c>
      <c r="B6" s="7">
        <f>(財務比率計算!C5-財務比率計算!B5)/財務比率計算!B5</f>
        <v>-1.7433447682408823E-3</v>
      </c>
      <c r="C6" s="7">
        <f>(財務比率計算!D5-財務比率計算!C5)/財務比率計算!C5</f>
        <v>-4.6238977204931773E-2</v>
      </c>
    </row>
    <row r="7" spans="1:8" x14ac:dyDescent="0.25">
      <c r="A7" t="s">
        <v>174</v>
      </c>
      <c r="B7" s="7">
        <f>(財務比率計算!C6-財務比率計算!B6)/財務比率計算!B6</f>
        <v>3.5320087547891704E-2</v>
      </c>
      <c r="C7" s="7">
        <f>(財務比率計算!D6-財務比率計算!C6)/財務比率計算!C6</f>
        <v>-0.10539554250265337</v>
      </c>
    </row>
    <row r="8" spans="1:8" x14ac:dyDescent="0.25">
      <c r="A8" t="s">
        <v>175</v>
      </c>
      <c r="B8" s="7">
        <f>(財務比率計算!C7-財務比率計算!B7)/財務比率計算!B7</f>
        <v>-8.4794410075209881E-3</v>
      </c>
      <c r="C8" s="7">
        <f>(財務比率計算!D7-財務比率計算!C7)/財務比率計算!C7</f>
        <v>1.4816918246944685E-2</v>
      </c>
    </row>
    <row r="9" spans="1:8" x14ac:dyDescent="0.25">
      <c r="A9" t="s">
        <v>176</v>
      </c>
      <c r="B9" s="7">
        <f>(財務比率計算!C8-財務比率計算!B8)/財務比率計算!B8</f>
        <v>-1.390171382642792E-2</v>
      </c>
      <c r="C9" s="7">
        <f>(財務比率計算!D8-財務比率計算!C8)/財務比率計算!C8</f>
        <v>-8.9220535064001391E-2</v>
      </c>
    </row>
    <row r="10" spans="1:8" x14ac:dyDescent="0.25">
      <c r="A10" t="s">
        <v>182</v>
      </c>
      <c r="B10" s="7">
        <f>(財務比率計算!C9-財務比率計算!B9)/財務比率計算!B9</f>
        <v>2.0877566795591898E-2</v>
      </c>
      <c r="C10" s="7">
        <f>(財務比率計算!D9-財務比率計算!C9)/財務比率計算!C9</f>
        <v>-3.2887471812814963E-2</v>
      </c>
    </row>
    <row r="15" spans="1:8" x14ac:dyDescent="0.25">
      <c r="H15" s="6"/>
    </row>
    <row r="16" spans="1:8" x14ac:dyDescent="0.25">
      <c r="F16" s="7"/>
      <c r="G16" s="7"/>
    </row>
    <row r="17" spans="6:7" x14ac:dyDescent="0.25">
      <c r="F17" s="7"/>
      <c r="G17" s="7"/>
    </row>
    <row r="18" spans="6:7" x14ac:dyDescent="0.25">
      <c r="F18" s="7"/>
      <c r="G18" s="7"/>
    </row>
    <row r="19" spans="6:7" x14ac:dyDescent="0.25">
      <c r="F19" s="7"/>
      <c r="G19" s="7"/>
    </row>
    <row r="20" spans="6:7" x14ac:dyDescent="0.25">
      <c r="F20" s="7"/>
      <c r="G20" s="7"/>
    </row>
    <row r="21" spans="6:7" x14ac:dyDescent="0.25">
      <c r="F21" s="7"/>
      <c r="G21" s="7"/>
    </row>
    <row r="22" spans="6:7" x14ac:dyDescent="0.25">
      <c r="F22" s="7"/>
      <c r="G22" s="7"/>
    </row>
    <row r="23" spans="6:7" x14ac:dyDescent="0.25">
      <c r="F23" s="7"/>
      <c r="G23" s="7"/>
    </row>
  </sheetData>
  <mergeCells count="1">
    <mergeCell ref="A1:C1"/>
  </mergeCells>
  <phoneticPr fontId="2" type="noConversion"/>
  <conditionalFormatting sqref="B3:C10">
    <cfRule type="cellIs" dxfId="7" priority="5" operator="lessThan">
      <formula>0</formula>
    </cfRule>
    <cfRule type="cellIs" dxfId="6" priority="6" operator="greaterThan">
      <formula>0</formula>
    </cfRule>
    <cfRule type="cellIs" dxfId="5" priority="7" operator="lessThan">
      <formula>-0.02</formula>
    </cfRule>
    <cfRule type="cellIs" dxfId="4" priority="8" operator="greaterThan">
      <formula>0.02</formula>
    </cfRule>
  </conditionalFormatting>
  <conditionalFormatting sqref="F16:G23">
    <cfRule type="cellIs" dxfId="3" priority="1" operator="lessThan">
      <formula>0</formula>
    </cfRule>
    <cfRule type="cellIs" dxfId="2" priority="2" operator="greaterThan">
      <formula>0</formula>
    </cfRule>
    <cfRule type="cellIs" dxfId="1" priority="3" operator="lessThan">
      <formula>-0.02</formula>
    </cfRule>
    <cfRule type="cellIs" dxfId="0" priority="4" operator="greaterThan">
      <formula>0.02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5BF15-FC46-4302-9E9E-3A76F6357243}">
  <sheetPr codeName="工作表7"/>
  <dimension ref="A1"/>
  <sheetViews>
    <sheetView workbookViewId="0"/>
  </sheetViews>
  <sheetFormatPr defaultRowHeight="16.5" x14ac:dyDescent="0.25"/>
  <sheetData>
    <row r="1" spans="1:1" x14ac:dyDescent="0.25">
      <c r="A1" t="s">
        <v>190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0EFDA-7D95-4854-BF88-74D0E08FA8F5}">
  <sheetPr codeName="工作表8"/>
  <dimension ref="A1:C112"/>
  <sheetViews>
    <sheetView workbookViewId="0"/>
  </sheetViews>
  <sheetFormatPr defaultRowHeight="16.5" x14ac:dyDescent="0.25"/>
  <cols>
    <col min="1" max="1" width="81" bestFit="1" customWidth="1"/>
    <col min="2" max="2" width="8" bestFit="1" customWidth="1"/>
    <col min="3" max="3" width="10.5" bestFit="1" customWidth="1"/>
  </cols>
  <sheetData>
    <row r="1" spans="1:3" x14ac:dyDescent="0.25">
      <c r="A1" t="s">
        <v>186</v>
      </c>
      <c r="B1" t="s">
        <v>187</v>
      </c>
      <c r="C1" t="s">
        <v>188</v>
      </c>
    </row>
    <row r="2" spans="1:3" x14ac:dyDescent="0.25">
      <c r="A2" s="1" t="s">
        <v>34</v>
      </c>
      <c r="B2" s="1" t="s">
        <v>1</v>
      </c>
      <c r="C2">
        <v>317041854</v>
      </c>
    </row>
    <row r="3" spans="1:3" x14ac:dyDescent="0.25">
      <c r="A3" s="1" t="s">
        <v>33</v>
      </c>
      <c r="B3" s="1" t="s">
        <v>1</v>
      </c>
      <c r="C3">
        <v>208869628</v>
      </c>
    </row>
    <row r="4" spans="1:3" x14ac:dyDescent="0.25">
      <c r="A4" s="1" t="s">
        <v>35</v>
      </c>
      <c r="B4" s="1" t="s">
        <v>1</v>
      </c>
      <c r="C4">
        <v>108172226</v>
      </c>
    </row>
    <row r="5" spans="1:3" x14ac:dyDescent="0.25">
      <c r="A5" s="1" t="s">
        <v>36</v>
      </c>
      <c r="B5" s="1" t="s">
        <v>1</v>
      </c>
      <c r="C5">
        <v>108172226</v>
      </c>
    </row>
    <row r="6" spans="1:3" x14ac:dyDescent="0.25">
      <c r="A6" s="1" t="s">
        <v>14</v>
      </c>
      <c r="B6" s="1" t="s">
        <v>1</v>
      </c>
      <c r="C6">
        <v>82457527</v>
      </c>
    </row>
    <row r="7" spans="1:3" x14ac:dyDescent="0.25">
      <c r="A7" s="1" t="s">
        <v>15</v>
      </c>
      <c r="B7" s="1" t="s">
        <v>1</v>
      </c>
      <c r="C7">
        <v>11927562</v>
      </c>
    </row>
    <row r="8" spans="1:3" x14ac:dyDescent="0.25">
      <c r="A8" s="1" t="s">
        <v>17</v>
      </c>
      <c r="B8" s="1" t="s">
        <v>1</v>
      </c>
      <c r="C8">
        <v>36661</v>
      </c>
    </row>
    <row r="9" spans="1:3" x14ac:dyDescent="0.25">
      <c r="A9" s="1" t="s">
        <v>25</v>
      </c>
      <c r="B9" s="1" t="s">
        <v>1</v>
      </c>
      <c r="C9">
        <v>94421750</v>
      </c>
    </row>
    <row r="10" spans="1:3" x14ac:dyDescent="0.25">
      <c r="A10" s="1" t="s">
        <v>32</v>
      </c>
      <c r="B10" s="1" t="s">
        <v>1</v>
      </c>
      <c r="C10">
        <v>13750476</v>
      </c>
    </row>
    <row r="11" spans="1:3" x14ac:dyDescent="0.25">
      <c r="A11" s="1" t="s">
        <v>12</v>
      </c>
      <c r="B11" s="1" t="s">
        <v>1</v>
      </c>
      <c r="C11">
        <v>1569505</v>
      </c>
    </row>
    <row r="12" spans="1:3" x14ac:dyDescent="0.25">
      <c r="A12" s="1" t="s">
        <v>11</v>
      </c>
      <c r="B12" s="1" t="s">
        <v>1</v>
      </c>
      <c r="C12">
        <v>2372082</v>
      </c>
    </row>
    <row r="13" spans="1:3" x14ac:dyDescent="0.25">
      <c r="A13" s="1" t="s">
        <v>10</v>
      </c>
      <c r="B13" s="1" t="s">
        <v>1</v>
      </c>
      <c r="C13">
        <v>-157665</v>
      </c>
    </row>
    <row r="14" spans="1:3" x14ac:dyDescent="0.25">
      <c r="A14" s="1" t="s">
        <v>16</v>
      </c>
      <c r="B14" s="1" t="s">
        <v>1</v>
      </c>
      <c r="C14">
        <v>1379574</v>
      </c>
    </row>
    <row r="15" spans="1:3" x14ac:dyDescent="0.25">
      <c r="A15" s="1" t="s">
        <v>13</v>
      </c>
      <c r="B15" s="1" t="s">
        <v>1</v>
      </c>
      <c r="C15">
        <v>202535</v>
      </c>
    </row>
    <row r="16" spans="1:3" x14ac:dyDescent="0.25">
      <c r="A16" s="1" t="s">
        <v>24</v>
      </c>
      <c r="B16" s="1" t="s">
        <v>1</v>
      </c>
      <c r="C16">
        <v>2606883</v>
      </c>
    </row>
    <row r="17" spans="1:3" x14ac:dyDescent="0.25">
      <c r="A17" s="1" t="s">
        <v>37</v>
      </c>
      <c r="B17" s="1" t="s">
        <v>1</v>
      </c>
      <c r="C17">
        <v>16357359</v>
      </c>
    </row>
    <row r="18" spans="1:3" x14ac:dyDescent="0.25">
      <c r="A18" s="1" t="s">
        <v>29</v>
      </c>
      <c r="B18" s="1" t="s">
        <v>1</v>
      </c>
      <c r="C18">
        <v>3696228</v>
      </c>
    </row>
    <row r="19" spans="1:3" x14ac:dyDescent="0.25">
      <c r="A19" s="1" t="s">
        <v>38</v>
      </c>
      <c r="B19" s="1" t="s">
        <v>1</v>
      </c>
      <c r="C19">
        <v>12661131</v>
      </c>
    </row>
    <row r="20" spans="1:3" x14ac:dyDescent="0.25">
      <c r="A20" s="1" t="s">
        <v>30</v>
      </c>
      <c r="B20" s="1" t="s">
        <v>1</v>
      </c>
      <c r="C20">
        <v>12661131</v>
      </c>
    </row>
    <row r="21" spans="1:3" x14ac:dyDescent="0.25">
      <c r="A21" s="1" t="s">
        <v>7</v>
      </c>
      <c r="B21" s="1" t="s">
        <v>1</v>
      </c>
      <c r="C21">
        <v>-15228</v>
      </c>
    </row>
    <row r="22" spans="1:3" x14ac:dyDescent="0.25">
      <c r="A22" s="1" t="s">
        <v>9</v>
      </c>
      <c r="B22" s="1" t="s">
        <v>1</v>
      </c>
      <c r="C22">
        <v>171930</v>
      </c>
    </row>
    <row r="23" spans="1:3" x14ac:dyDescent="0.25">
      <c r="A23" s="1" t="s">
        <v>5</v>
      </c>
      <c r="B23" s="1" t="s">
        <v>1</v>
      </c>
      <c r="C23">
        <v>7024</v>
      </c>
    </row>
    <row r="24" spans="1:3" x14ac:dyDescent="0.25">
      <c r="A24" s="1" t="s">
        <v>8</v>
      </c>
      <c r="B24" s="1" t="s">
        <v>1</v>
      </c>
      <c r="C24">
        <v>-3763</v>
      </c>
    </row>
    <row r="25" spans="1:3" x14ac:dyDescent="0.25">
      <c r="A25" s="1" t="s">
        <v>18</v>
      </c>
      <c r="B25" s="1" t="s">
        <v>1</v>
      </c>
      <c r="C25">
        <v>167489</v>
      </c>
    </row>
    <row r="26" spans="1:3" x14ac:dyDescent="0.25">
      <c r="A26" s="1" t="s">
        <v>4</v>
      </c>
      <c r="B26" s="1" t="s">
        <v>1</v>
      </c>
      <c r="C26">
        <v>-56379</v>
      </c>
    </row>
    <row r="27" spans="1:3" x14ac:dyDescent="0.25">
      <c r="A27" s="1" t="s">
        <v>6</v>
      </c>
      <c r="B27" s="1" t="s">
        <v>1</v>
      </c>
      <c r="C27">
        <v>3789</v>
      </c>
    </row>
    <row r="28" spans="1:3" x14ac:dyDescent="0.25">
      <c r="A28" s="1" t="s">
        <v>21</v>
      </c>
      <c r="B28" s="1" t="s">
        <v>1</v>
      </c>
      <c r="C28">
        <v>-52590</v>
      </c>
    </row>
    <row r="29" spans="1:3" x14ac:dyDescent="0.25">
      <c r="A29" s="1" t="s">
        <v>19</v>
      </c>
      <c r="B29" s="1" t="s">
        <v>1</v>
      </c>
      <c r="C29">
        <v>114899</v>
      </c>
    </row>
    <row r="30" spans="1:3" x14ac:dyDescent="0.25">
      <c r="A30" s="1" t="s">
        <v>31</v>
      </c>
      <c r="B30" s="1" t="s">
        <v>1</v>
      </c>
      <c r="C30">
        <v>12776030</v>
      </c>
    </row>
    <row r="31" spans="1:3" x14ac:dyDescent="0.25">
      <c r="A31" s="1" t="s">
        <v>22</v>
      </c>
      <c r="B31" s="1" t="s">
        <v>1</v>
      </c>
      <c r="C31">
        <v>10613914</v>
      </c>
    </row>
    <row r="32" spans="1:3" x14ac:dyDescent="0.25">
      <c r="A32" s="1" t="s">
        <v>27</v>
      </c>
      <c r="B32" s="1" t="s">
        <v>1</v>
      </c>
      <c r="C32">
        <v>2047217</v>
      </c>
    </row>
    <row r="33" spans="1:3" x14ac:dyDescent="0.25">
      <c r="A33" s="1" t="s">
        <v>23</v>
      </c>
      <c r="B33" s="1" t="s">
        <v>1</v>
      </c>
      <c r="C33">
        <v>10737269</v>
      </c>
    </row>
    <row r="34" spans="1:3" x14ac:dyDescent="0.25">
      <c r="A34" s="1" t="s">
        <v>28</v>
      </c>
      <c r="B34" s="1" t="s">
        <v>1</v>
      </c>
      <c r="C34">
        <v>2038761</v>
      </c>
    </row>
    <row r="35" spans="1:3" x14ac:dyDescent="0.25">
      <c r="A35" s="1" t="s">
        <v>189</v>
      </c>
      <c r="B35" s="1" t="s">
        <v>1</v>
      </c>
      <c r="C35">
        <v>10.210000000000001</v>
      </c>
    </row>
    <row r="36" spans="1:3" x14ac:dyDescent="0.25">
      <c r="A36" s="1" t="s">
        <v>20</v>
      </c>
      <c r="B36" s="1" t="s">
        <v>1</v>
      </c>
      <c r="C36">
        <v>10.210000000000001</v>
      </c>
    </row>
    <row r="37" spans="1:3" x14ac:dyDescent="0.25">
      <c r="A37" s="1" t="s">
        <v>189</v>
      </c>
      <c r="B37" s="1" t="s">
        <v>1</v>
      </c>
      <c r="C37">
        <v>10.19</v>
      </c>
    </row>
    <row r="38" spans="1:3" x14ac:dyDescent="0.25">
      <c r="A38" s="1" t="s">
        <v>26</v>
      </c>
      <c r="B38" s="1" t="s">
        <v>1</v>
      </c>
      <c r="C38">
        <v>10.19</v>
      </c>
    </row>
    <row r="39" spans="1:3" x14ac:dyDescent="0.25">
      <c r="A39" s="1" t="s">
        <v>34</v>
      </c>
      <c r="B39" s="1" t="s">
        <v>2</v>
      </c>
      <c r="C39">
        <v>337932397</v>
      </c>
    </row>
    <row r="40" spans="1:3" x14ac:dyDescent="0.25">
      <c r="A40" s="1" t="s">
        <v>33</v>
      </c>
      <c r="B40" s="1" t="s">
        <v>2</v>
      </c>
      <c r="C40">
        <v>222504647</v>
      </c>
    </row>
    <row r="41" spans="1:3" x14ac:dyDescent="0.25">
      <c r="A41" s="1" t="s">
        <v>35</v>
      </c>
      <c r="B41" s="1" t="s">
        <v>2</v>
      </c>
      <c r="C41">
        <v>115427750</v>
      </c>
    </row>
    <row r="42" spans="1:3" x14ac:dyDescent="0.25">
      <c r="A42" s="1" t="s">
        <v>36</v>
      </c>
      <c r="B42" s="1" t="s">
        <v>2</v>
      </c>
      <c r="C42">
        <v>115427750</v>
      </c>
    </row>
    <row r="43" spans="1:3" x14ac:dyDescent="0.25">
      <c r="A43" s="1" t="s">
        <v>14</v>
      </c>
      <c r="B43" s="1" t="s">
        <v>2</v>
      </c>
      <c r="C43">
        <v>88839517</v>
      </c>
    </row>
    <row r="44" spans="1:3" x14ac:dyDescent="0.25">
      <c r="A44" s="1" t="s">
        <v>15</v>
      </c>
      <c r="B44" s="1" t="s">
        <v>2</v>
      </c>
      <c r="C44">
        <v>12592666</v>
      </c>
    </row>
    <row r="45" spans="1:3" x14ac:dyDescent="0.25">
      <c r="A45" s="1" t="s">
        <v>17</v>
      </c>
      <c r="B45" s="1" t="s">
        <v>2</v>
      </c>
      <c r="C45">
        <v>22832</v>
      </c>
    </row>
    <row r="46" spans="1:3" x14ac:dyDescent="0.25">
      <c r="A46" s="1" t="s">
        <v>25</v>
      </c>
      <c r="B46" s="1" t="s">
        <v>2</v>
      </c>
      <c r="C46">
        <v>101455015</v>
      </c>
    </row>
    <row r="47" spans="1:3" x14ac:dyDescent="0.25">
      <c r="A47" s="1" t="s">
        <v>32</v>
      </c>
      <c r="B47" s="1" t="s">
        <v>2</v>
      </c>
      <c r="C47">
        <v>13972735</v>
      </c>
    </row>
    <row r="48" spans="1:3" x14ac:dyDescent="0.25">
      <c r="A48" s="1" t="s">
        <v>12</v>
      </c>
      <c r="B48" s="1" t="s">
        <v>2</v>
      </c>
      <c r="C48">
        <v>1754562</v>
      </c>
    </row>
    <row r="49" spans="1:3" x14ac:dyDescent="0.25">
      <c r="A49" s="1" t="s">
        <v>11</v>
      </c>
      <c r="B49" s="1" t="s">
        <v>2</v>
      </c>
      <c r="C49">
        <v>2772141</v>
      </c>
    </row>
    <row r="50" spans="1:3" x14ac:dyDescent="0.25">
      <c r="A50" s="1" t="s">
        <v>10</v>
      </c>
      <c r="B50" s="1" t="s">
        <v>2</v>
      </c>
      <c r="C50">
        <v>150509</v>
      </c>
    </row>
    <row r="51" spans="1:3" x14ac:dyDescent="0.25">
      <c r="A51" s="1" t="s">
        <v>16</v>
      </c>
      <c r="B51" s="1" t="s">
        <v>2</v>
      </c>
      <c r="C51">
        <v>1620707</v>
      </c>
    </row>
    <row r="52" spans="1:3" x14ac:dyDescent="0.25">
      <c r="A52" s="1" t="s">
        <v>13</v>
      </c>
      <c r="B52" s="1" t="s">
        <v>2</v>
      </c>
      <c r="C52">
        <v>332347</v>
      </c>
    </row>
    <row r="53" spans="1:3" x14ac:dyDescent="0.25">
      <c r="A53" s="1" t="s">
        <v>24</v>
      </c>
      <c r="B53" s="1" t="s">
        <v>2</v>
      </c>
      <c r="C53">
        <v>3388852</v>
      </c>
    </row>
    <row r="54" spans="1:3" x14ac:dyDescent="0.25">
      <c r="A54" s="1" t="s">
        <v>37</v>
      </c>
      <c r="B54" s="1" t="s">
        <v>2</v>
      </c>
      <c r="C54">
        <v>17361587</v>
      </c>
    </row>
    <row r="55" spans="1:3" x14ac:dyDescent="0.25">
      <c r="A55" s="1" t="s">
        <v>29</v>
      </c>
      <c r="B55" s="1" t="s">
        <v>2</v>
      </c>
      <c r="C55">
        <v>3620148</v>
      </c>
    </row>
    <row r="56" spans="1:3" x14ac:dyDescent="0.25">
      <c r="A56" s="1" t="s">
        <v>38</v>
      </c>
      <c r="B56" s="1" t="s">
        <v>2</v>
      </c>
      <c r="C56">
        <v>13741439</v>
      </c>
    </row>
    <row r="57" spans="1:3" x14ac:dyDescent="0.25">
      <c r="A57" s="1" t="s">
        <v>30</v>
      </c>
      <c r="B57" s="1" t="s">
        <v>2</v>
      </c>
      <c r="C57">
        <v>13741439</v>
      </c>
    </row>
    <row r="58" spans="1:3" x14ac:dyDescent="0.25">
      <c r="A58" s="1" t="s">
        <v>7</v>
      </c>
      <c r="B58" s="1" t="s">
        <v>2</v>
      </c>
      <c r="C58">
        <v>414552</v>
      </c>
    </row>
    <row r="59" spans="1:3" x14ac:dyDescent="0.25">
      <c r="A59" s="1" t="s">
        <v>9</v>
      </c>
      <c r="B59" s="1" t="s">
        <v>2</v>
      </c>
      <c r="C59">
        <v>262718</v>
      </c>
    </row>
    <row r="60" spans="1:3" x14ac:dyDescent="0.25">
      <c r="A60" s="1" t="s">
        <v>5</v>
      </c>
      <c r="B60" s="1" t="s">
        <v>2</v>
      </c>
      <c r="C60">
        <v>17638</v>
      </c>
    </row>
    <row r="61" spans="1:3" x14ac:dyDescent="0.25">
      <c r="A61" s="1" t="s">
        <v>8</v>
      </c>
      <c r="B61" s="1" t="s">
        <v>2</v>
      </c>
      <c r="C61">
        <v>83565</v>
      </c>
    </row>
    <row r="62" spans="1:3" x14ac:dyDescent="0.25">
      <c r="A62" s="1" t="s">
        <v>18</v>
      </c>
      <c r="B62" s="1" t="s">
        <v>2</v>
      </c>
      <c r="C62">
        <v>611343</v>
      </c>
    </row>
    <row r="63" spans="1:3" x14ac:dyDescent="0.25">
      <c r="A63" s="1" t="s">
        <v>4</v>
      </c>
      <c r="B63" s="1" t="s">
        <v>2</v>
      </c>
      <c r="C63">
        <v>1753411</v>
      </c>
    </row>
    <row r="64" spans="1:3" x14ac:dyDescent="0.25">
      <c r="A64" s="1" t="s">
        <v>6</v>
      </c>
      <c r="B64" s="1" t="s">
        <v>2</v>
      </c>
      <c r="C64">
        <v>-4198</v>
      </c>
    </row>
    <row r="65" spans="1:3" x14ac:dyDescent="0.25">
      <c r="A65" s="1" t="s">
        <v>21</v>
      </c>
      <c r="B65" s="1" t="s">
        <v>2</v>
      </c>
      <c r="C65">
        <v>1749213</v>
      </c>
    </row>
    <row r="66" spans="1:3" x14ac:dyDescent="0.25">
      <c r="A66" s="1" t="s">
        <v>19</v>
      </c>
      <c r="B66" s="1" t="s">
        <v>2</v>
      </c>
      <c r="C66">
        <v>2360556</v>
      </c>
    </row>
    <row r="67" spans="1:3" x14ac:dyDescent="0.25">
      <c r="A67" s="1" t="s">
        <v>31</v>
      </c>
      <c r="B67" s="1" t="s">
        <v>2</v>
      </c>
      <c r="C67">
        <v>16101995</v>
      </c>
    </row>
    <row r="68" spans="1:3" x14ac:dyDescent="0.25">
      <c r="A68" s="1" t="s">
        <v>22</v>
      </c>
      <c r="B68" s="1" t="s">
        <v>2</v>
      </c>
      <c r="C68">
        <v>11538923</v>
      </c>
    </row>
    <row r="69" spans="1:3" x14ac:dyDescent="0.25">
      <c r="A69" s="1" t="s">
        <v>27</v>
      </c>
      <c r="B69" s="1" t="s">
        <v>2</v>
      </c>
      <c r="C69">
        <v>2202516</v>
      </c>
    </row>
    <row r="70" spans="1:3" x14ac:dyDescent="0.25">
      <c r="A70" s="1" t="s">
        <v>23</v>
      </c>
      <c r="B70" s="1" t="s">
        <v>2</v>
      </c>
      <c r="C70">
        <v>13779915</v>
      </c>
    </row>
    <row r="71" spans="1:3" x14ac:dyDescent="0.25">
      <c r="A71" s="1" t="s">
        <v>28</v>
      </c>
      <c r="B71" s="1" t="s">
        <v>2</v>
      </c>
      <c r="C71">
        <v>2322080</v>
      </c>
    </row>
    <row r="72" spans="1:3" x14ac:dyDescent="0.25">
      <c r="A72" s="1" t="s">
        <v>189</v>
      </c>
      <c r="B72" s="1" t="s">
        <v>2</v>
      </c>
      <c r="C72">
        <v>11.1</v>
      </c>
    </row>
    <row r="73" spans="1:3" x14ac:dyDescent="0.25">
      <c r="A73" s="1" t="s">
        <v>20</v>
      </c>
      <c r="B73" s="1" t="s">
        <v>2</v>
      </c>
      <c r="C73">
        <v>11.1</v>
      </c>
    </row>
    <row r="74" spans="1:3" x14ac:dyDescent="0.25">
      <c r="A74" s="1" t="s">
        <v>189</v>
      </c>
      <c r="B74" s="1" t="s">
        <v>2</v>
      </c>
      <c r="C74">
        <v>11.07</v>
      </c>
    </row>
    <row r="75" spans="1:3" x14ac:dyDescent="0.25">
      <c r="A75" s="1" t="s">
        <v>26</v>
      </c>
      <c r="B75" s="1" t="s">
        <v>2</v>
      </c>
      <c r="C75">
        <v>11.07</v>
      </c>
    </row>
    <row r="76" spans="1:3" x14ac:dyDescent="0.25">
      <c r="A76" s="1" t="s">
        <v>34</v>
      </c>
      <c r="B76" s="1" t="s">
        <v>3</v>
      </c>
      <c r="C76">
        <v>350734591</v>
      </c>
    </row>
    <row r="77" spans="1:3" x14ac:dyDescent="0.25">
      <c r="A77" s="1" t="s">
        <v>33</v>
      </c>
      <c r="B77" s="1" t="s">
        <v>3</v>
      </c>
      <c r="C77">
        <v>230193275</v>
      </c>
    </row>
    <row r="78" spans="1:3" x14ac:dyDescent="0.25">
      <c r="A78" s="1" t="s">
        <v>35</v>
      </c>
      <c r="B78" s="1" t="s">
        <v>3</v>
      </c>
      <c r="C78">
        <v>120541316</v>
      </c>
    </row>
    <row r="79" spans="1:3" x14ac:dyDescent="0.25">
      <c r="A79" s="1" t="s">
        <v>36</v>
      </c>
      <c r="B79" s="1" t="s">
        <v>3</v>
      </c>
      <c r="C79">
        <v>120541316</v>
      </c>
    </row>
    <row r="80" spans="1:3" x14ac:dyDescent="0.25">
      <c r="A80" s="1" t="s">
        <v>14</v>
      </c>
      <c r="B80" s="1" t="s">
        <v>3</v>
      </c>
      <c r="C80">
        <v>93677885</v>
      </c>
    </row>
    <row r="81" spans="1:3" x14ac:dyDescent="0.25">
      <c r="A81" s="1" t="s">
        <v>15</v>
      </c>
      <c r="B81" s="1" t="s">
        <v>3</v>
      </c>
      <c r="C81">
        <v>12929251</v>
      </c>
    </row>
    <row r="82" spans="1:3" x14ac:dyDescent="0.25">
      <c r="A82" s="1" t="s">
        <v>17</v>
      </c>
      <c r="B82" s="1" t="s">
        <v>3</v>
      </c>
      <c r="C82">
        <v>4156</v>
      </c>
    </row>
    <row r="83" spans="1:3" x14ac:dyDescent="0.25">
      <c r="A83" s="1" t="s">
        <v>25</v>
      </c>
      <c r="B83" s="1" t="s">
        <v>3</v>
      </c>
      <c r="C83">
        <v>106611292</v>
      </c>
    </row>
    <row r="84" spans="1:3" x14ac:dyDescent="0.25">
      <c r="A84" s="1" t="s">
        <v>32</v>
      </c>
      <c r="B84" s="1" t="s">
        <v>3</v>
      </c>
      <c r="C84">
        <v>13930024</v>
      </c>
    </row>
    <row r="85" spans="1:3" x14ac:dyDescent="0.25">
      <c r="A85" s="1" t="s">
        <v>12</v>
      </c>
      <c r="B85" s="1" t="s">
        <v>3</v>
      </c>
      <c r="C85">
        <v>1463634</v>
      </c>
    </row>
    <row r="86" spans="1:3" x14ac:dyDescent="0.25">
      <c r="A86" s="1" t="s">
        <v>11</v>
      </c>
      <c r="B86" s="1" t="s">
        <v>3</v>
      </c>
      <c r="C86">
        <v>3425318</v>
      </c>
    </row>
    <row r="87" spans="1:3" x14ac:dyDescent="0.25">
      <c r="A87" s="1" t="s">
        <v>10</v>
      </c>
      <c r="B87" s="1" t="s">
        <v>3</v>
      </c>
      <c r="C87">
        <v>-129992</v>
      </c>
    </row>
    <row r="88" spans="1:3" x14ac:dyDescent="0.25">
      <c r="A88" s="1" t="s">
        <v>16</v>
      </c>
      <c r="B88" s="1" t="s">
        <v>3</v>
      </c>
      <c r="C88">
        <v>2080499</v>
      </c>
    </row>
    <row r="89" spans="1:3" x14ac:dyDescent="0.25">
      <c r="A89" s="1" t="s">
        <v>13</v>
      </c>
      <c r="B89" s="1" t="s">
        <v>3</v>
      </c>
      <c r="C89">
        <v>336556</v>
      </c>
    </row>
    <row r="90" spans="1:3" x14ac:dyDescent="0.25">
      <c r="A90" s="1" t="s">
        <v>24</v>
      </c>
      <c r="B90" s="1" t="s">
        <v>3</v>
      </c>
      <c r="C90">
        <v>3015017</v>
      </c>
    </row>
    <row r="91" spans="1:3" x14ac:dyDescent="0.25">
      <c r="A91" s="1" t="s">
        <v>37</v>
      </c>
      <c r="B91" s="1" t="s">
        <v>3</v>
      </c>
      <c r="C91">
        <v>16945041</v>
      </c>
    </row>
    <row r="92" spans="1:3" x14ac:dyDescent="0.25">
      <c r="A92" s="1" t="s">
        <v>29</v>
      </c>
      <c r="B92" s="1" t="s">
        <v>3</v>
      </c>
      <c r="C92">
        <v>3610759</v>
      </c>
    </row>
    <row r="93" spans="1:3" x14ac:dyDescent="0.25">
      <c r="A93" s="1" t="s">
        <v>38</v>
      </c>
      <c r="B93" s="1" t="s">
        <v>3</v>
      </c>
      <c r="C93">
        <v>13334282</v>
      </c>
    </row>
    <row r="94" spans="1:3" x14ac:dyDescent="0.25">
      <c r="A94" s="1" t="s">
        <v>30</v>
      </c>
      <c r="B94" s="1" t="s">
        <v>3</v>
      </c>
      <c r="C94">
        <v>13334282</v>
      </c>
    </row>
    <row r="95" spans="1:3" x14ac:dyDescent="0.25">
      <c r="A95" s="1" t="s">
        <v>7</v>
      </c>
      <c r="B95" s="1" t="s">
        <v>3</v>
      </c>
      <c r="C95">
        <v>144199</v>
      </c>
    </row>
    <row r="96" spans="1:3" x14ac:dyDescent="0.25">
      <c r="A96" s="1" t="s">
        <v>9</v>
      </c>
      <c r="B96" s="1" t="s">
        <v>3</v>
      </c>
      <c r="C96">
        <v>44471</v>
      </c>
    </row>
    <row r="97" spans="1:3" x14ac:dyDescent="0.25">
      <c r="A97" s="1" t="s">
        <v>5</v>
      </c>
      <c r="B97" s="1" t="s">
        <v>3</v>
      </c>
      <c r="C97">
        <v>-15125</v>
      </c>
    </row>
    <row r="98" spans="1:3" x14ac:dyDescent="0.25">
      <c r="A98" s="1" t="s">
        <v>8</v>
      </c>
      <c r="B98" s="1" t="s">
        <v>3</v>
      </c>
      <c r="C98">
        <v>33415</v>
      </c>
    </row>
    <row r="99" spans="1:3" x14ac:dyDescent="0.25">
      <c r="A99" s="1" t="s">
        <v>18</v>
      </c>
      <c r="B99" s="1" t="s">
        <v>3</v>
      </c>
      <c r="C99">
        <v>140130</v>
      </c>
    </row>
    <row r="100" spans="1:3" x14ac:dyDescent="0.25">
      <c r="A100" s="1" t="s">
        <v>4</v>
      </c>
      <c r="B100" s="1" t="s">
        <v>3</v>
      </c>
      <c r="C100">
        <v>-1398320</v>
      </c>
    </row>
    <row r="101" spans="1:3" x14ac:dyDescent="0.25">
      <c r="A101" s="1" t="s">
        <v>6</v>
      </c>
      <c r="B101" s="1" t="s">
        <v>3</v>
      </c>
      <c r="C101">
        <v>-815</v>
      </c>
    </row>
    <row r="102" spans="1:3" x14ac:dyDescent="0.25">
      <c r="A102" s="1" t="s">
        <v>21</v>
      </c>
      <c r="B102" s="1" t="s">
        <v>3</v>
      </c>
      <c r="C102">
        <v>-1399135</v>
      </c>
    </row>
    <row r="103" spans="1:3" x14ac:dyDescent="0.25">
      <c r="A103" s="1" t="s">
        <v>19</v>
      </c>
      <c r="B103" s="1" t="s">
        <v>3</v>
      </c>
      <c r="C103">
        <v>-1259005</v>
      </c>
    </row>
    <row r="104" spans="1:3" x14ac:dyDescent="0.25">
      <c r="A104" s="1" t="s">
        <v>31</v>
      </c>
      <c r="B104" s="1" t="s">
        <v>3</v>
      </c>
      <c r="C104">
        <v>12075277</v>
      </c>
    </row>
    <row r="105" spans="1:3" x14ac:dyDescent="0.25">
      <c r="A105" s="1" t="s">
        <v>22</v>
      </c>
      <c r="B105" s="1" t="s">
        <v>3</v>
      </c>
      <c r="C105">
        <v>11210454</v>
      </c>
    </row>
    <row r="106" spans="1:3" x14ac:dyDescent="0.25">
      <c r="A106" s="1" t="s">
        <v>27</v>
      </c>
      <c r="B106" s="1" t="s">
        <v>3</v>
      </c>
      <c r="C106">
        <v>2123828</v>
      </c>
    </row>
    <row r="107" spans="1:3" x14ac:dyDescent="0.25">
      <c r="A107" s="1" t="s">
        <v>23</v>
      </c>
      <c r="B107" s="1" t="s">
        <v>3</v>
      </c>
      <c r="C107">
        <v>10071776</v>
      </c>
    </row>
    <row r="108" spans="1:3" x14ac:dyDescent="0.25">
      <c r="A108" s="1" t="s">
        <v>28</v>
      </c>
      <c r="B108" s="1" t="s">
        <v>3</v>
      </c>
      <c r="C108">
        <v>2003501</v>
      </c>
    </row>
    <row r="109" spans="1:3" x14ac:dyDescent="0.25">
      <c r="A109" s="1" t="s">
        <v>189</v>
      </c>
      <c r="B109" s="1" t="s">
        <v>3</v>
      </c>
      <c r="C109">
        <v>10.78</v>
      </c>
    </row>
    <row r="110" spans="1:3" x14ac:dyDescent="0.25">
      <c r="A110" s="1" t="s">
        <v>20</v>
      </c>
      <c r="B110" s="1" t="s">
        <v>3</v>
      </c>
      <c r="C110">
        <v>10.78</v>
      </c>
    </row>
    <row r="111" spans="1:3" x14ac:dyDescent="0.25">
      <c r="A111" s="1" t="s">
        <v>189</v>
      </c>
      <c r="B111" s="1" t="s">
        <v>3</v>
      </c>
      <c r="C111">
        <v>10.75</v>
      </c>
    </row>
    <row r="112" spans="1:3" x14ac:dyDescent="0.25">
      <c r="A112" s="1" t="s">
        <v>26</v>
      </c>
      <c r="B112" s="1" t="s">
        <v>3</v>
      </c>
      <c r="C112">
        <v>10.75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AB6FE-F86C-457B-B252-449378E940BE}">
  <sheetPr codeName="工作表9"/>
  <dimension ref="A1:C170"/>
  <sheetViews>
    <sheetView workbookViewId="0">
      <selection activeCell="G25" sqref="G25"/>
    </sheetView>
  </sheetViews>
  <sheetFormatPr defaultRowHeight="16.5" x14ac:dyDescent="0.25"/>
  <cols>
    <col min="1" max="1" width="69.375" bestFit="1" customWidth="1"/>
    <col min="2" max="2" width="8" bestFit="1" customWidth="1"/>
    <col min="3" max="3" width="10.5" bestFit="1" customWidth="1"/>
    <col min="4" max="4" width="69.375" bestFit="1" customWidth="1"/>
    <col min="5" max="5" width="16" bestFit="1" customWidth="1"/>
    <col min="6" max="6" width="32.125" bestFit="1" customWidth="1"/>
    <col min="7" max="9" width="10.5" bestFit="1" customWidth="1"/>
  </cols>
  <sheetData>
    <row r="1" spans="1:3" x14ac:dyDescent="0.25">
      <c r="A1" t="s">
        <v>186</v>
      </c>
      <c r="B1" t="s">
        <v>187</v>
      </c>
      <c r="C1" t="s">
        <v>188</v>
      </c>
    </row>
    <row r="2" spans="1:3" x14ac:dyDescent="0.25">
      <c r="A2" s="1" t="s">
        <v>71</v>
      </c>
      <c r="B2" s="1" t="s">
        <v>1</v>
      </c>
      <c r="C2">
        <v>48929582</v>
      </c>
    </row>
    <row r="3" spans="1:3" x14ac:dyDescent="0.25">
      <c r="A3" s="1" t="s">
        <v>78</v>
      </c>
      <c r="B3" s="1" t="s">
        <v>1</v>
      </c>
      <c r="C3">
        <v>943266</v>
      </c>
    </row>
    <row r="4" spans="1:3" x14ac:dyDescent="0.25">
      <c r="A4" s="1" t="s">
        <v>65</v>
      </c>
      <c r="B4" s="1" t="s">
        <v>1</v>
      </c>
      <c r="C4">
        <v>6978609</v>
      </c>
    </row>
    <row r="5" spans="1:3" x14ac:dyDescent="0.25">
      <c r="A5" s="1" t="s">
        <v>63</v>
      </c>
      <c r="B5" s="1" t="s">
        <v>1</v>
      </c>
      <c r="C5">
        <v>7340609</v>
      </c>
    </row>
    <row r="6" spans="1:3" x14ac:dyDescent="0.25">
      <c r="A6" s="1" t="s">
        <v>50</v>
      </c>
      <c r="B6" s="1" t="s">
        <v>1</v>
      </c>
      <c r="C6">
        <v>3102494</v>
      </c>
    </row>
    <row r="7" spans="1:3" x14ac:dyDescent="0.25">
      <c r="A7" s="1" t="s">
        <v>69</v>
      </c>
      <c r="B7" s="1" t="s">
        <v>1</v>
      </c>
      <c r="C7">
        <v>8276</v>
      </c>
    </row>
    <row r="8" spans="1:3" x14ac:dyDescent="0.25">
      <c r="A8" s="1" t="s">
        <v>58</v>
      </c>
      <c r="B8" s="1" t="s">
        <v>1</v>
      </c>
      <c r="C8">
        <v>23427376</v>
      </c>
    </row>
    <row r="9" spans="1:3" x14ac:dyDescent="0.25">
      <c r="A9" s="1" t="s">
        <v>83</v>
      </c>
      <c r="B9" s="1" t="s">
        <v>1</v>
      </c>
      <c r="C9">
        <v>1608202</v>
      </c>
    </row>
    <row r="10" spans="1:3" x14ac:dyDescent="0.25">
      <c r="A10" s="1" t="s">
        <v>53</v>
      </c>
      <c r="B10" s="1" t="s">
        <v>1</v>
      </c>
      <c r="C10">
        <v>2707993</v>
      </c>
    </row>
    <row r="11" spans="1:3" x14ac:dyDescent="0.25">
      <c r="A11" s="1" t="s">
        <v>86</v>
      </c>
      <c r="B11" s="1" t="s">
        <v>1</v>
      </c>
      <c r="C11">
        <v>95046407</v>
      </c>
    </row>
    <row r="12" spans="1:3" x14ac:dyDescent="0.25">
      <c r="A12" s="1" t="s">
        <v>79</v>
      </c>
      <c r="B12" s="1" t="s">
        <v>1</v>
      </c>
      <c r="C12">
        <v>85480</v>
      </c>
    </row>
    <row r="13" spans="1:3" x14ac:dyDescent="0.25">
      <c r="A13" s="1" t="s">
        <v>77</v>
      </c>
      <c r="B13" s="1" t="s">
        <v>1</v>
      </c>
      <c r="C13">
        <v>1019411</v>
      </c>
    </row>
    <row r="14" spans="1:3" x14ac:dyDescent="0.25">
      <c r="A14" s="1" t="s">
        <v>67</v>
      </c>
      <c r="B14" s="1" t="s">
        <v>1</v>
      </c>
      <c r="C14">
        <v>13496300</v>
      </c>
    </row>
    <row r="15" spans="1:3" x14ac:dyDescent="0.25">
      <c r="A15" s="1" t="s">
        <v>46</v>
      </c>
      <c r="B15" s="1" t="s">
        <v>1</v>
      </c>
      <c r="C15">
        <v>37505212</v>
      </c>
    </row>
    <row r="16" spans="1:3" x14ac:dyDescent="0.25">
      <c r="A16" s="1" t="s">
        <v>47</v>
      </c>
      <c r="B16" s="1" t="s">
        <v>1</v>
      </c>
      <c r="C16">
        <v>88197513</v>
      </c>
    </row>
    <row r="17" spans="1:3" x14ac:dyDescent="0.25">
      <c r="A17" s="1" t="s">
        <v>64</v>
      </c>
      <c r="B17" s="1" t="s">
        <v>1</v>
      </c>
      <c r="C17">
        <v>3214862</v>
      </c>
    </row>
    <row r="18" spans="1:3" x14ac:dyDescent="0.25">
      <c r="A18" s="1" t="s">
        <v>70</v>
      </c>
      <c r="B18" s="1" t="s">
        <v>1</v>
      </c>
      <c r="C18">
        <v>9508023</v>
      </c>
    </row>
    <row r="19" spans="1:3" x14ac:dyDescent="0.25">
      <c r="A19" s="1" t="s">
        <v>81</v>
      </c>
      <c r="B19" s="1" t="s">
        <v>1</v>
      </c>
      <c r="C19">
        <v>3300753</v>
      </c>
    </row>
    <row r="20" spans="1:3" x14ac:dyDescent="0.25">
      <c r="A20" s="1" t="s">
        <v>55</v>
      </c>
      <c r="B20" s="1" t="s">
        <v>1</v>
      </c>
      <c r="C20">
        <v>5978511</v>
      </c>
    </row>
    <row r="21" spans="1:3" x14ac:dyDescent="0.25">
      <c r="A21" s="1" t="s">
        <v>89</v>
      </c>
      <c r="B21" s="1" t="s">
        <v>1</v>
      </c>
      <c r="C21">
        <v>162306065</v>
      </c>
    </row>
    <row r="22" spans="1:3" x14ac:dyDescent="0.25">
      <c r="A22" s="1" t="s">
        <v>94</v>
      </c>
      <c r="B22" s="1" t="s">
        <v>1</v>
      </c>
      <c r="C22">
        <v>257352472</v>
      </c>
    </row>
    <row r="23" spans="1:3" x14ac:dyDescent="0.25">
      <c r="A23" s="1" t="s">
        <v>72</v>
      </c>
      <c r="B23" s="1" t="s">
        <v>1</v>
      </c>
      <c r="C23">
        <v>9798343</v>
      </c>
    </row>
    <row r="24" spans="1:3" x14ac:dyDescent="0.25">
      <c r="A24" s="1" t="s">
        <v>61</v>
      </c>
      <c r="B24" s="1" t="s">
        <v>1</v>
      </c>
      <c r="C24">
        <v>3497090</v>
      </c>
    </row>
    <row r="25" spans="1:3" x14ac:dyDescent="0.25">
      <c r="A25" s="1" t="s">
        <v>56</v>
      </c>
      <c r="B25" s="1" t="s">
        <v>1</v>
      </c>
      <c r="C25">
        <v>7310995</v>
      </c>
    </row>
    <row r="26" spans="1:3" x14ac:dyDescent="0.25">
      <c r="A26" s="1" t="s">
        <v>62</v>
      </c>
      <c r="B26" s="1" t="s">
        <v>1</v>
      </c>
      <c r="C26">
        <v>2204719</v>
      </c>
    </row>
    <row r="27" spans="1:3" x14ac:dyDescent="0.25">
      <c r="A27" s="1" t="s">
        <v>59</v>
      </c>
      <c r="B27" s="1" t="s">
        <v>1</v>
      </c>
      <c r="C27">
        <v>28401121</v>
      </c>
    </row>
    <row r="28" spans="1:3" x14ac:dyDescent="0.25">
      <c r="A28" s="1" t="s">
        <v>60</v>
      </c>
      <c r="B28" s="1" t="s">
        <v>1</v>
      </c>
      <c r="C28">
        <v>3670965</v>
      </c>
    </row>
    <row r="29" spans="1:3" x14ac:dyDescent="0.25">
      <c r="A29" s="1" t="s">
        <v>49</v>
      </c>
      <c r="B29" s="1" t="s">
        <v>1</v>
      </c>
      <c r="C29">
        <v>33134376</v>
      </c>
    </row>
    <row r="30" spans="1:3" x14ac:dyDescent="0.25">
      <c r="A30" s="1" t="s">
        <v>68</v>
      </c>
      <c r="B30" s="1" t="s">
        <v>1</v>
      </c>
      <c r="C30">
        <v>2341093</v>
      </c>
    </row>
    <row r="31" spans="1:3" x14ac:dyDescent="0.25">
      <c r="A31" s="1" t="s">
        <v>73</v>
      </c>
      <c r="B31" s="1" t="s">
        <v>1</v>
      </c>
      <c r="C31">
        <v>14599887</v>
      </c>
    </row>
    <row r="32" spans="1:3" x14ac:dyDescent="0.25">
      <c r="A32" s="1" t="s">
        <v>52</v>
      </c>
      <c r="B32" s="1" t="s">
        <v>1</v>
      </c>
      <c r="C32">
        <v>3924950</v>
      </c>
    </row>
    <row r="33" spans="1:3" x14ac:dyDescent="0.25">
      <c r="A33" s="1" t="s">
        <v>85</v>
      </c>
      <c r="B33" s="1" t="s">
        <v>1</v>
      </c>
      <c r="C33">
        <v>108883539</v>
      </c>
    </row>
    <row r="34" spans="1:3" x14ac:dyDescent="0.25">
      <c r="A34" s="1" t="s">
        <v>57</v>
      </c>
      <c r="B34" s="1" t="s">
        <v>1</v>
      </c>
      <c r="C34">
        <v>679083</v>
      </c>
    </row>
    <row r="35" spans="1:3" x14ac:dyDescent="0.25">
      <c r="A35" s="1" t="s">
        <v>82</v>
      </c>
      <c r="B35" s="1" t="s">
        <v>1</v>
      </c>
      <c r="C35">
        <v>6351627</v>
      </c>
    </row>
    <row r="36" spans="1:3" x14ac:dyDescent="0.25">
      <c r="A36" s="1" t="s">
        <v>80</v>
      </c>
      <c r="B36" s="1" t="s">
        <v>1</v>
      </c>
      <c r="C36">
        <v>6340077</v>
      </c>
    </row>
    <row r="37" spans="1:3" x14ac:dyDescent="0.25">
      <c r="A37" s="1" t="s">
        <v>74</v>
      </c>
      <c r="B37" s="1" t="s">
        <v>1</v>
      </c>
      <c r="C37">
        <v>78066236</v>
      </c>
    </row>
    <row r="38" spans="1:3" x14ac:dyDescent="0.25">
      <c r="A38" s="1" t="s">
        <v>54</v>
      </c>
      <c r="B38" s="1" t="s">
        <v>1</v>
      </c>
      <c r="C38">
        <v>9184510</v>
      </c>
    </row>
    <row r="39" spans="1:3" x14ac:dyDescent="0.25">
      <c r="A39" s="1" t="s">
        <v>88</v>
      </c>
      <c r="B39" s="1" t="s">
        <v>1</v>
      </c>
      <c r="C39">
        <v>100621533</v>
      </c>
    </row>
    <row r="40" spans="1:3" x14ac:dyDescent="0.25">
      <c r="A40" s="1" t="s">
        <v>93</v>
      </c>
      <c r="B40" s="1" t="s">
        <v>1</v>
      </c>
      <c r="C40">
        <v>209505072</v>
      </c>
    </row>
    <row r="41" spans="1:3" x14ac:dyDescent="0.25">
      <c r="A41" s="1" t="s">
        <v>40</v>
      </c>
      <c r="B41" s="1" t="s">
        <v>1</v>
      </c>
      <c r="C41">
        <v>10396223</v>
      </c>
    </row>
    <row r="42" spans="1:3" x14ac:dyDescent="0.25">
      <c r="A42" s="1" t="s">
        <v>75</v>
      </c>
      <c r="B42" s="1" t="s">
        <v>1</v>
      </c>
      <c r="C42">
        <v>10396223</v>
      </c>
    </row>
    <row r="43" spans="1:3" x14ac:dyDescent="0.25">
      <c r="A43" s="1" t="s">
        <v>44</v>
      </c>
      <c r="B43" s="1" t="s">
        <v>1</v>
      </c>
      <c r="C43">
        <v>90300</v>
      </c>
    </row>
    <row r="44" spans="1:3" x14ac:dyDescent="0.25">
      <c r="A44" s="1" t="s">
        <v>76</v>
      </c>
      <c r="B44" s="1" t="s">
        <v>1</v>
      </c>
      <c r="C44">
        <v>90300</v>
      </c>
    </row>
    <row r="45" spans="1:3" x14ac:dyDescent="0.25">
      <c r="A45" s="1" t="s">
        <v>42</v>
      </c>
      <c r="B45" s="1" t="s">
        <v>1</v>
      </c>
      <c r="C45">
        <v>15302251</v>
      </c>
    </row>
    <row r="46" spans="1:3" x14ac:dyDescent="0.25">
      <c r="A46" s="1" t="s">
        <v>43</v>
      </c>
      <c r="B46" s="1" t="s">
        <v>1</v>
      </c>
      <c r="C46">
        <v>54625</v>
      </c>
    </row>
    <row r="47" spans="1:3" x14ac:dyDescent="0.25">
      <c r="A47" s="1" t="s">
        <v>41</v>
      </c>
      <c r="B47" s="1" t="s">
        <v>1</v>
      </c>
      <c r="C47">
        <v>11939629</v>
      </c>
    </row>
    <row r="48" spans="1:3" x14ac:dyDescent="0.25">
      <c r="A48" s="1" t="s">
        <v>48</v>
      </c>
      <c r="B48" s="1" t="s">
        <v>1</v>
      </c>
      <c r="C48">
        <v>27296505</v>
      </c>
    </row>
    <row r="49" spans="1:3" x14ac:dyDescent="0.25">
      <c r="A49" s="1" t="s">
        <v>39</v>
      </c>
      <c r="B49" s="1" t="s">
        <v>1</v>
      </c>
      <c r="C49">
        <v>-649458</v>
      </c>
    </row>
    <row r="50" spans="1:3" x14ac:dyDescent="0.25">
      <c r="A50" s="1" t="s">
        <v>45</v>
      </c>
      <c r="B50" s="1" t="s">
        <v>1</v>
      </c>
      <c r="C50">
        <v>710937</v>
      </c>
    </row>
    <row r="51" spans="1:3" x14ac:dyDescent="0.25">
      <c r="A51" s="1" t="s">
        <v>51</v>
      </c>
      <c r="B51" s="1" t="s">
        <v>1</v>
      </c>
      <c r="C51">
        <v>61479</v>
      </c>
    </row>
    <row r="52" spans="1:3" x14ac:dyDescent="0.25">
      <c r="A52" s="1" t="s">
        <v>84</v>
      </c>
      <c r="B52" s="1" t="s">
        <v>1</v>
      </c>
      <c r="C52">
        <v>37844507</v>
      </c>
    </row>
    <row r="53" spans="1:3" x14ac:dyDescent="0.25">
      <c r="A53" s="1" t="s">
        <v>87</v>
      </c>
      <c r="B53" s="1" t="s">
        <v>1</v>
      </c>
      <c r="C53">
        <v>10002893</v>
      </c>
    </row>
    <row r="54" spans="1:3" x14ac:dyDescent="0.25">
      <c r="A54" s="1" t="s">
        <v>90</v>
      </c>
      <c r="B54" s="1" t="s">
        <v>1</v>
      </c>
      <c r="C54">
        <v>47847400</v>
      </c>
    </row>
    <row r="55" spans="1:3" x14ac:dyDescent="0.25">
      <c r="A55" s="1" t="s">
        <v>92</v>
      </c>
      <c r="B55" s="1" t="s">
        <v>1</v>
      </c>
      <c r="C55">
        <v>257352472</v>
      </c>
    </row>
    <row r="56" spans="1:3" x14ac:dyDescent="0.25">
      <c r="A56" s="1" t="s">
        <v>95</v>
      </c>
      <c r="B56" s="1" t="s">
        <v>1</v>
      </c>
      <c r="C56">
        <v>0</v>
      </c>
    </row>
    <row r="57" spans="1:3" x14ac:dyDescent="0.25">
      <c r="A57" s="1" t="s">
        <v>91</v>
      </c>
      <c r="B57" s="1" t="s">
        <v>1</v>
      </c>
      <c r="C57">
        <v>0</v>
      </c>
    </row>
    <row r="58" spans="1:3" x14ac:dyDescent="0.25">
      <c r="A58" s="1" t="s">
        <v>71</v>
      </c>
      <c r="B58" s="1" t="s">
        <v>2</v>
      </c>
      <c r="C58">
        <v>51267712</v>
      </c>
    </row>
    <row r="59" spans="1:3" x14ac:dyDescent="0.25">
      <c r="A59" s="1" t="s">
        <v>78</v>
      </c>
      <c r="B59" s="1" t="s">
        <v>2</v>
      </c>
      <c r="C59">
        <v>1562588</v>
      </c>
    </row>
    <row r="60" spans="1:3" x14ac:dyDescent="0.25">
      <c r="A60" s="1" t="s">
        <v>65</v>
      </c>
      <c r="B60" s="1" t="s">
        <v>2</v>
      </c>
      <c r="C60">
        <v>181334</v>
      </c>
    </row>
    <row r="61" spans="1:3" x14ac:dyDescent="0.25">
      <c r="A61" s="1" t="s">
        <v>63</v>
      </c>
      <c r="B61" s="1" t="s">
        <v>2</v>
      </c>
      <c r="C61">
        <v>7577551</v>
      </c>
    </row>
    <row r="62" spans="1:3" x14ac:dyDescent="0.25">
      <c r="A62" s="1" t="s">
        <v>50</v>
      </c>
      <c r="B62" s="1" t="s">
        <v>2</v>
      </c>
      <c r="C62">
        <v>3752568</v>
      </c>
    </row>
    <row r="63" spans="1:3" x14ac:dyDescent="0.25">
      <c r="A63" s="1" t="s">
        <v>69</v>
      </c>
      <c r="B63" s="1" t="s">
        <v>2</v>
      </c>
      <c r="C63">
        <v>6024</v>
      </c>
    </row>
    <row r="64" spans="1:3" x14ac:dyDescent="0.25">
      <c r="A64" s="1" t="s">
        <v>58</v>
      </c>
      <c r="B64" s="1" t="s">
        <v>2</v>
      </c>
      <c r="C64">
        <v>23631957</v>
      </c>
    </row>
    <row r="65" spans="1:3" x14ac:dyDescent="0.25">
      <c r="A65" s="1" t="s">
        <v>83</v>
      </c>
      <c r="B65" s="1" t="s">
        <v>2</v>
      </c>
      <c r="C65">
        <v>1653264</v>
      </c>
    </row>
    <row r="66" spans="1:3" x14ac:dyDescent="0.25">
      <c r="A66" s="1" t="s">
        <v>53</v>
      </c>
      <c r="B66" s="1" t="s">
        <v>2</v>
      </c>
      <c r="C66">
        <v>3134826</v>
      </c>
    </row>
    <row r="67" spans="1:3" x14ac:dyDescent="0.25">
      <c r="A67" s="1" t="s">
        <v>86</v>
      </c>
      <c r="B67" s="1" t="s">
        <v>2</v>
      </c>
      <c r="C67">
        <v>92767824</v>
      </c>
    </row>
    <row r="68" spans="1:3" x14ac:dyDescent="0.25">
      <c r="A68" s="1" t="s">
        <v>79</v>
      </c>
      <c r="B68" s="1" t="s">
        <v>2</v>
      </c>
      <c r="C68">
        <v>85480</v>
      </c>
    </row>
    <row r="69" spans="1:3" x14ac:dyDescent="0.25">
      <c r="A69" s="1" t="s">
        <v>77</v>
      </c>
      <c r="B69" s="1" t="s">
        <v>2</v>
      </c>
      <c r="C69">
        <v>1282129</v>
      </c>
    </row>
    <row r="70" spans="1:3" x14ac:dyDescent="0.25">
      <c r="A70" s="1" t="s">
        <v>66</v>
      </c>
      <c r="B70" s="1" t="s">
        <v>2</v>
      </c>
      <c r="C70">
        <v>215593</v>
      </c>
    </row>
    <row r="71" spans="1:3" x14ac:dyDescent="0.25">
      <c r="A71" s="1" t="s">
        <v>67</v>
      </c>
      <c r="B71" s="1" t="s">
        <v>2</v>
      </c>
      <c r="C71">
        <v>13746633</v>
      </c>
    </row>
    <row r="72" spans="1:3" x14ac:dyDescent="0.25">
      <c r="A72" s="1" t="s">
        <v>46</v>
      </c>
      <c r="B72" s="1" t="s">
        <v>2</v>
      </c>
      <c r="C72">
        <v>49670492</v>
      </c>
    </row>
    <row r="73" spans="1:3" x14ac:dyDescent="0.25">
      <c r="A73" s="1" t="s">
        <v>47</v>
      </c>
      <c r="B73" s="1" t="s">
        <v>2</v>
      </c>
      <c r="C73">
        <v>91426317</v>
      </c>
    </row>
    <row r="74" spans="1:3" x14ac:dyDescent="0.25">
      <c r="A74" s="1" t="s">
        <v>64</v>
      </c>
      <c r="B74" s="1" t="s">
        <v>2</v>
      </c>
      <c r="C74">
        <v>2899200</v>
      </c>
    </row>
    <row r="75" spans="1:3" x14ac:dyDescent="0.25">
      <c r="A75" s="1" t="s">
        <v>70</v>
      </c>
      <c r="B75" s="1" t="s">
        <v>2</v>
      </c>
      <c r="C75">
        <v>9197116</v>
      </c>
    </row>
    <row r="76" spans="1:3" x14ac:dyDescent="0.25">
      <c r="A76" s="1" t="s">
        <v>81</v>
      </c>
      <c r="B76" s="1" t="s">
        <v>2</v>
      </c>
      <c r="C76">
        <v>3338623</v>
      </c>
    </row>
    <row r="77" spans="1:3" x14ac:dyDescent="0.25">
      <c r="A77" s="1" t="s">
        <v>55</v>
      </c>
      <c r="B77" s="1" t="s">
        <v>2</v>
      </c>
      <c r="C77">
        <v>5152870</v>
      </c>
    </row>
    <row r="78" spans="1:3" x14ac:dyDescent="0.25">
      <c r="A78" s="1" t="s">
        <v>89</v>
      </c>
      <c r="B78" s="1" t="s">
        <v>2</v>
      </c>
      <c r="C78">
        <v>177014453</v>
      </c>
    </row>
    <row r="79" spans="1:3" x14ac:dyDescent="0.25">
      <c r="A79" s="1" t="s">
        <v>94</v>
      </c>
      <c r="B79" s="1" t="s">
        <v>2</v>
      </c>
      <c r="C79">
        <v>269782277</v>
      </c>
    </row>
    <row r="80" spans="1:3" x14ac:dyDescent="0.25">
      <c r="A80" s="1" t="s">
        <v>72</v>
      </c>
      <c r="B80" s="1" t="s">
        <v>2</v>
      </c>
      <c r="C80">
        <v>6492532</v>
      </c>
    </row>
    <row r="81" spans="1:3" x14ac:dyDescent="0.25">
      <c r="A81" s="1" t="s">
        <v>61</v>
      </c>
      <c r="B81" s="1" t="s">
        <v>2</v>
      </c>
      <c r="C81">
        <v>2098141</v>
      </c>
    </row>
    <row r="82" spans="1:3" x14ac:dyDescent="0.25">
      <c r="A82" s="1" t="s">
        <v>56</v>
      </c>
      <c r="B82" s="1" t="s">
        <v>2</v>
      </c>
      <c r="C82">
        <v>8291362</v>
      </c>
    </row>
    <row r="83" spans="1:3" x14ac:dyDescent="0.25">
      <c r="A83" s="1" t="s">
        <v>62</v>
      </c>
      <c r="B83" s="1" t="s">
        <v>2</v>
      </c>
      <c r="C83">
        <v>1047100</v>
      </c>
    </row>
    <row r="84" spans="1:3" x14ac:dyDescent="0.25">
      <c r="A84" s="1" t="s">
        <v>59</v>
      </c>
      <c r="B84" s="1" t="s">
        <v>2</v>
      </c>
      <c r="C84">
        <v>30180289</v>
      </c>
    </row>
    <row r="85" spans="1:3" x14ac:dyDescent="0.25">
      <c r="A85" s="1" t="s">
        <v>60</v>
      </c>
      <c r="B85" s="1" t="s">
        <v>2</v>
      </c>
      <c r="C85">
        <v>3951265</v>
      </c>
    </row>
    <row r="86" spans="1:3" x14ac:dyDescent="0.25">
      <c r="A86" s="1" t="s">
        <v>49</v>
      </c>
      <c r="B86" s="1" t="s">
        <v>2</v>
      </c>
      <c r="C86">
        <v>33714982</v>
      </c>
    </row>
    <row r="87" spans="1:3" x14ac:dyDescent="0.25">
      <c r="A87" s="1" t="s">
        <v>68</v>
      </c>
      <c r="B87" s="1" t="s">
        <v>2</v>
      </c>
      <c r="C87">
        <v>2331030</v>
      </c>
    </row>
    <row r="88" spans="1:3" x14ac:dyDescent="0.25">
      <c r="A88" s="1" t="s">
        <v>73</v>
      </c>
      <c r="B88" s="1" t="s">
        <v>2</v>
      </c>
      <c r="C88">
        <v>15340071</v>
      </c>
    </row>
    <row r="89" spans="1:3" x14ac:dyDescent="0.25">
      <c r="A89" s="1" t="s">
        <v>52</v>
      </c>
      <c r="B89" s="1" t="s">
        <v>2</v>
      </c>
      <c r="C89">
        <v>4324669</v>
      </c>
    </row>
    <row r="90" spans="1:3" x14ac:dyDescent="0.25">
      <c r="A90" s="1" t="s">
        <v>85</v>
      </c>
      <c r="B90" s="1" t="s">
        <v>2</v>
      </c>
      <c r="C90">
        <v>107771441</v>
      </c>
    </row>
    <row r="91" spans="1:3" x14ac:dyDescent="0.25">
      <c r="A91" s="1" t="s">
        <v>57</v>
      </c>
      <c r="B91" s="1" t="s">
        <v>2</v>
      </c>
      <c r="C91">
        <v>767848</v>
      </c>
    </row>
    <row r="92" spans="1:3" x14ac:dyDescent="0.25">
      <c r="A92" s="1" t="s">
        <v>82</v>
      </c>
      <c r="B92" s="1" t="s">
        <v>2</v>
      </c>
      <c r="C92">
        <v>14729512</v>
      </c>
    </row>
    <row r="93" spans="1:3" x14ac:dyDescent="0.25">
      <c r="A93" s="1" t="s">
        <v>80</v>
      </c>
      <c r="B93" s="1" t="s">
        <v>2</v>
      </c>
      <c r="C93">
        <v>5497323</v>
      </c>
    </row>
    <row r="94" spans="1:3" x14ac:dyDescent="0.25">
      <c r="A94" s="1" t="s">
        <v>74</v>
      </c>
      <c r="B94" s="1" t="s">
        <v>2</v>
      </c>
      <c r="C94">
        <v>80316561</v>
      </c>
    </row>
    <row r="95" spans="1:3" x14ac:dyDescent="0.25">
      <c r="A95" s="1" t="s">
        <v>54</v>
      </c>
      <c r="B95" s="1" t="s">
        <v>2</v>
      </c>
      <c r="C95">
        <v>8678934</v>
      </c>
    </row>
    <row r="96" spans="1:3" x14ac:dyDescent="0.25">
      <c r="A96" s="1" t="s">
        <v>88</v>
      </c>
      <c r="B96" s="1" t="s">
        <v>2</v>
      </c>
      <c r="C96">
        <v>109990178</v>
      </c>
    </row>
    <row r="97" spans="1:3" x14ac:dyDescent="0.25">
      <c r="A97" s="1" t="s">
        <v>93</v>
      </c>
      <c r="B97" s="1" t="s">
        <v>2</v>
      </c>
      <c r="C97">
        <v>217761619</v>
      </c>
    </row>
    <row r="98" spans="1:3" x14ac:dyDescent="0.25">
      <c r="A98" s="1" t="s">
        <v>40</v>
      </c>
      <c r="B98" s="1" t="s">
        <v>2</v>
      </c>
      <c r="C98">
        <v>10396223</v>
      </c>
    </row>
    <row r="99" spans="1:3" x14ac:dyDescent="0.25">
      <c r="A99" s="1" t="s">
        <v>75</v>
      </c>
      <c r="B99" s="1" t="s">
        <v>2</v>
      </c>
      <c r="C99">
        <v>10396223</v>
      </c>
    </row>
    <row r="100" spans="1:3" x14ac:dyDescent="0.25">
      <c r="A100" s="1" t="s">
        <v>44</v>
      </c>
      <c r="B100" s="1" t="s">
        <v>2</v>
      </c>
      <c r="C100">
        <v>91067</v>
      </c>
    </row>
    <row r="101" spans="1:3" x14ac:dyDescent="0.25">
      <c r="A101" s="1" t="s">
        <v>76</v>
      </c>
      <c r="B101" s="1" t="s">
        <v>2</v>
      </c>
      <c r="C101">
        <v>91067</v>
      </c>
    </row>
    <row r="102" spans="1:3" x14ac:dyDescent="0.25">
      <c r="A102" s="1" t="s">
        <v>42</v>
      </c>
      <c r="B102" s="1" t="s">
        <v>2</v>
      </c>
      <c r="C102">
        <v>16364599</v>
      </c>
    </row>
    <row r="103" spans="1:3" x14ac:dyDescent="0.25">
      <c r="A103" s="1" t="s">
        <v>43</v>
      </c>
      <c r="B103" s="1" t="s">
        <v>2</v>
      </c>
      <c r="C103">
        <v>0</v>
      </c>
    </row>
    <row r="104" spans="1:3" x14ac:dyDescent="0.25">
      <c r="A104" s="1" t="s">
        <v>41</v>
      </c>
      <c r="B104" s="1" t="s">
        <v>2</v>
      </c>
      <c r="C104">
        <v>13426603</v>
      </c>
    </row>
    <row r="105" spans="1:3" x14ac:dyDescent="0.25">
      <c r="A105" s="1" t="s">
        <v>48</v>
      </c>
      <c r="B105" s="1" t="s">
        <v>2</v>
      </c>
      <c r="C105">
        <v>29791202</v>
      </c>
    </row>
    <row r="106" spans="1:3" x14ac:dyDescent="0.25">
      <c r="A106" s="1" t="s">
        <v>39</v>
      </c>
      <c r="B106" s="1" t="s">
        <v>2</v>
      </c>
      <c r="C106">
        <v>1023558</v>
      </c>
    </row>
    <row r="107" spans="1:3" x14ac:dyDescent="0.25">
      <c r="A107" s="1" t="s">
        <v>45</v>
      </c>
      <c r="B107" s="1" t="s">
        <v>2</v>
      </c>
      <c r="C107">
        <v>975643</v>
      </c>
    </row>
    <row r="108" spans="1:3" x14ac:dyDescent="0.25">
      <c r="A108" s="1" t="s">
        <v>51</v>
      </c>
      <c r="B108" s="1" t="s">
        <v>2</v>
      </c>
      <c r="C108">
        <v>1999201</v>
      </c>
    </row>
    <row r="109" spans="1:3" x14ac:dyDescent="0.25">
      <c r="A109" s="1" t="s">
        <v>84</v>
      </c>
      <c r="B109" s="1" t="s">
        <v>2</v>
      </c>
      <c r="C109">
        <v>42277693</v>
      </c>
    </row>
    <row r="110" spans="1:3" x14ac:dyDescent="0.25">
      <c r="A110" s="1" t="s">
        <v>87</v>
      </c>
      <c r="B110" s="1" t="s">
        <v>2</v>
      </c>
      <c r="C110">
        <v>9742965</v>
      </c>
    </row>
    <row r="111" spans="1:3" x14ac:dyDescent="0.25">
      <c r="A111" s="1" t="s">
        <v>90</v>
      </c>
      <c r="B111" s="1" t="s">
        <v>2</v>
      </c>
      <c r="C111">
        <v>52020658</v>
      </c>
    </row>
    <row r="112" spans="1:3" x14ac:dyDescent="0.25">
      <c r="A112" s="1" t="s">
        <v>92</v>
      </c>
      <c r="B112" s="1" t="s">
        <v>2</v>
      </c>
      <c r="C112">
        <v>269782277</v>
      </c>
    </row>
    <row r="113" spans="1:3" x14ac:dyDescent="0.25">
      <c r="A113" s="1" t="s">
        <v>95</v>
      </c>
      <c r="B113" s="1" t="s">
        <v>2</v>
      </c>
      <c r="C113">
        <v>0</v>
      </c>
    </row>
    <row r="114" spans="1:3" x14ac:dyDescent="0.25">
      <c r="A114" s="1" t="s">
        <v>91</v>
      </c>
      <c r="B114" s="1" t="s">
        <v>2</v>
      </c>
      <c r="C114">
        <v>0</v>
      </c>
    </row>
    <row r="115" spans="1:3" x14ac:dyDescent="0.25">
      <c r="A115" s="1" t="s">
        <v>71</v>
      </c>
      <c r="B115" s="1" t="s">
        <v>3</v>
      </c>
      <c r="C115">
        <v>50182134</v>
      </c>
    </row>
    <row r="116" spans="1:3" x14ac:dyDescent="0.25">
      <c r="A116" s="1" t="s">
        <v>78</v>
      </c>
      <c r="B116" s="1" t="s">
        <v>3</v>
      </c>
      <c r="C116">
        <v>1308063</v>
      </c>
    </row>
    <row r="117" spans="1:3" x14ac:dyDescent="0.25">
      <c r="A117" s="1" t="s">
        <v>65</v>
      </c>
      <c r="B117" s="1" t="s">
        <v>3</v>
      </c>
      <c r="C117">
        <v>391485</v>
      </c>
    </row>
    <row r="118" spans="1:3" x14ac:dyDescent="0.25">
      <c r="A118" s="1" t="s">
        <v>63</v>
      </c>
      <c r="B118" s="1" t="s">
        <v>3</v>
      </c>
      <c r="C118">
        <v>7617155</v>
      </c>
    </row>
    <row r="119" spans="1:3" x14ac:dyDescent="0.25">
      <c r="A119" s="1" t="s">
        <v>50</v>
      </c>
      <c r="B119" s="1" t="s">
        <v>3</v>
      </c>
      <c r="C119">
        <v>3514966</v>
      </c>
    </row>
    <row r="120" spans="1:3" x14ac:dyDescent="0.25">
      <c r="A120" s="1" t="s">
        <v>69</v>
      </c>
      <c r="B120" s="1" t="s">
        <v>3</v>
      </c>
      <c r="C120">
        <v>12683</v>
      </c>
    </row>
    <row r="121" spans="1:3" x14ac:dyDescent="0.25">
      <c r="A121" s="1" t="s">
        <v>58</v>
      </c>
      <c r="B121" s="1" t="s">
        <v>3</v>
      </c>
      <c r="C121">
        <v>26709097</v>
      </c>
    </row>
    <row r="122" spans="1:3" x14ac:dyDescent="0.25">
      <c r="A122" s="1" t="s">
        <v>83</v>
      </c>
      <c r="B122" s="1" t="s">
        <v>3</v>
      </c>
      <c r="C122">
        <v>1941914</v>
      </c>
    </row>
    <row r="123" spans="1:3" x14ac:dyDescent="0.25">
      <c r="A123" s="1" t="s">
        <v>53</v>
      </c>
      <c r="B123" s="1" t="s">
        <v>3</v>
      </c>
      <c r="C123">
        <v>2869961</v>
      </c>
    </row>
    <row r="124" spans="1:3" x14ac:dyDescent="0.25">
      <c r="A124" s="1" t="s">
        <v>86</v>
      </c>
      <c r="B124" s="1" t="s">
        <v>3</v>
      </c>
      <c r="C124">
        <v>94547458</v>
      </c>
    </row>
    <row r="125" spans="1:3" x14ac:dyDescent="0.25">
      <c r="A125" s="1" t="s">
        <v>79</v>
      </c>
      <c r="B125" s="1" t="s">
        <v>3</v>
      </c>
      <c r="C125">
        <v>193056</v>
      </c>
    </row>
    <row r="126" spans="1:3" x14ac:dyDescent="0.25">
      <c r="A126" s="1" t="s">
        <v>77</v>
      </c>
      <c r="B126" s="1" t="s">
        <v>3</v>
      </c>
      <c r="C126">
        <v>1326600</v>
      </c>
    </row>
    <row r="127" spans="1:3" x14ac:dyDescent="0.25">
      <c r="A127" s="1" t="s">
        <v>66</v>
      </c>
      <c r="B127" s="1" t="s">
        <v>3</v>
      </c>
      <c r="C127">
        <v>206895</v>
      </c>
    </row>
    <row r="128" spans="1:3" x14ac:dyDescent="0.25">
      <c r="A128" s="1" t="s">
        <v>67</v>
      </c>
      <c r="B128" s="1" t="s">
        <v>3</v>
      </c>
      <c r="C128">
        <v>13817711</v>
      </c>
    </row>
    <row r="129" spans="1:3" x14ac:dyDescent="0.25">
      <c r="A129" s="1" t="s">
        <v>46</v>
      </c>
      <c r="B129" s="1" t="s">
        <v>3</v>
      </c>
      <c r="C129">
        <v>62290649</v>
      </c>
    </row>
    <row r="130" spans="1:3" x14ac:dyDescent="0.25">
      <c r="A130" s="1" t="s">
        <v>47</v>
      </c>
      <c r="B130" s="1" t="s">
        <v>3</v>
      </c>
      <c r="C130">
        <v>101115343</v>
      </c>
    </row>
    <row r="131" spans="1:3" x14ac:dyDescent="0.25">
      <c r="A131" s="1" t="s">
        <v>64</v>
      </c>
      <c r="B131" s="1" t="s">
        <v>3</v>
      </c>
      <c r="C131">
        <v>1071791</v>
      </c>
    </row>
    <row r="132" spans="1:3" x14ac:dyDescent="0.25">
      <c r="A132" s="1" t="s">
        <v>70</v>
      </c>
      <c r="B132" s="1" t="s">
        <v>3</v>
      </c>
      <c r="C132">
        <v>9249819</v>
      </c>
    </row>
    <row r="133" spans="1:3" x14ac:dyDescent="0.25">
      <c r="A133" s="1" t="s">
        <v>81</v>
      </c>
      <c r="B133" s="1" t="s">
        <v>3</v>
      </c>
      <c r="C133">
        <v>3803716</v>
      </c>
    </row>
    <row r="134" spans="1:3" x14ac:dyDescent="0.25">
      <c r="A134" s="1" t="s">
        <v>55</v>
      </c>
      <c r="B134" s="1" t="s">
        <v>3</v>
      </c>
      <c r="C134">
        <v>5007590</v>
      </c>
    </row>
    <row r="135" spans="1:3" x14ac:dyDescent="0.25">
      <c r="A135" s="1" t="s">
        <v>89</v>
      </c>
      <c r="B135" s="1" t="s">
        <v>3</v>
      </c>
      <c r="C135">
        <v>198083170</v>
      </c>
    </row>
    <row r="136" spans="1:3" x14ac:dyDescent="0.25">
      <c r="A136" s="1" t="s">
        <v>94</v>
      </c>
      <c r="B136" s="1" t="s">
        <v>3</v>
      </c>
      <c r="C136">
        <v>292630628</v>
      </c>
    </row>
    <row r="137" spans="1:3" x14ac:dyDescent="0.25">
      <c r="A137" s="1" t="s">
        <v>72</v>
      </c>
      <c r="B137" s="1" t="s">
        <v>3</v>
      </c>
      <c r="C137">
        <v>12133459</v>
      </c>
    </row>
    <row r="138" spans="1:3" x14ac:dyDescent="0.25">
      <c r="A138" s="1" t="s">
        <v>61</v>
      </c>
      <c r="B138" s="1" t="s">
        <v>3</v>
      </c>
      <c r="C138">
        <v>6992539</v>
      </c>
    </row>
    <row r="139" spans="1:3" x14ac:dyDescent="0.25">
      <c r="A139" s="1" t="s">
        <v>56</v>
      </c>
      <c r="B139" s="1" t="s">
        <v>3</v>
      </c>
      <c r="C139">
        <v>10422029</v>
      </c>
    </row>
    <row r="140" spans="1:3" x14ac:dyDescent="0.25">
      <c r="A140" s="1" t="s">
        <v>62</v>
      </c>
      <c r="B140" s="1" t="s">
        <v>3</v>
      </c>
      <c r="C140">
        <v>967393</v>
      </c>
    </row>
    <row r="141" spans="1:3" x14ac:dyDescent="0.25">
      <c r="A141" s="1" t="s">
        <v>59</v>
      </c>
      <c r="B141" s="1" t="s">
        <v>3</v>
      </c>
      <c r="C141">
        <v>26667075</v>
      </c>
    </row>
    <row r="142" spans="1:3" x14ac:dyDescent="0.25">
      <c r="A142" s="1" t="s">
        <v>60</v>
      </c>
      <c r="B142" s="1" t="s">
        <v>3</v>
      </c>
      <c r="C142">
        <v>4325672</v>
      </c>
    </row>
    <row r="143" spans="1:3" x14ac:dyDescent="0.25">
      <c r="A143" s="1" t="s">
        <v>49</v>
      </c>
      <c r="B143" s="1" t="s">
        <v>3</v>
      </c>
      <c r="C143">
        <v>36989148</v>
      </c>
    </row>
    <row r="144" spans="1:3" x14ac:dyDescent="0.25">
      <c r="A144" s="1" t="s">
        <v>68</v>
      </c>
      <c r="B144" s="1" t="s">
        <v>3</v>
      </c>
      <c r="C144">
        <v>2115688</v>
      </c>
    </row>
    <row r="145" spans="1:3" x14ac:dyDescent="0.25">
      <c r="A145" s="1" t="s">
        <v>73</v>
      </c>
      <c r="B145" s="1" t="s">
        <v>3</v>
      </c>
      <c r="C145">
        <v>16162821</v>
      </c>
    </row>
    <row r="146" spans="1:3" x14ac:dyDescent="0.25">
      <c r="A146" s="1" t="s">
        <v>52</v>
      </c>
      <c r="B146" s="1" t="s">
        <v>3</v>
      </c>
      <c r="C146">
        <v>3822965</v>
      </c>
    </row>
    <row r="147" spans="1:3" x14ac:dyDescent="0.25">
      <c r="A147" s="1" t="s">
        <v>85</v>
      </c>
      <c r="B147" s="1" t="s">
        <v>3</v>
      </c>
      <c r="C147">
        <v>120598789</v>
      </c>
    </row>
    <row r="148" spans="1:3" x14ac:dyDescent="0.25">
      <c r="A148" s="1" t="s">
        <v>57</v>
      </c>
      <c r="B148" s="1" t="s">
        <v>3</v>
      </c>
      <c r="C148">
        <v>717924</v>
      </c>
    </row>
    <row r="149" spans="1:3" x14ac:dyDescent="0.25">
      <c r="A149" s="1" t="s">
        <v>82</v>
      </c>
      <c r="B149" s="1" t="s">
        <v>3</v>
      </c>
      <c r="C149">
        <v>15164601</v>
      </c>
    </row>
    <row r="150" spans="1:3" x14ac:dyDescent="0.25">
      <c r="A150" s="1" t="s">
        <v>80</v>
      </c>
      <c r="B150" s="1" t="s">
        <v>3</v>
      </c>
      <c r="C150">
        <v>5858362</v>
      </c>
    </row>
    <row r="151" spans="1:3" x14ac:dyDescent="0.25">
      <c r="A151" s="1" t="s">
        <v>74</v>
      </c>
      <c r="B151" s="1" t="s">
        <v>3</v>
      </c>
      <c r="C151">
        <v>88713790</v>
      </c>
    </row>
    <row r="152" spans="1:3" x14ac:dyDescent="0.25">
      <c r="A152" s="1" t="s">
        <v>54</v>
      </c>
      <c r="B152" s="1" t="s">
        <v>3</v>
      </c>
      <c r="C152">
        <v>8650599</v>
      </c>
    </row>
    <row r="153" spans="1:3" x14ac:dyDescent="0.25">
      <c r="A153" s="1" t="s">
        <v>88</v>
      </c>
      <c r="B153" s="1" t="s">
        <v>3</v>
      </c>
      <c r="C153">
        <v>119105276</v>
      </c>
    </row>
    <row r="154" spans="1:3" x14ac:dyDescent="0.25">
      <c r="A154" s="1" t="s">
        <v>93</v>
      </c>
      <c r="B154" s="1" t="s">
        <v>3</v>
      </c>
      <c r="C154">
        <v>239704065</v>
      </c>
    </row>
    <row r="155" spans="1:3" x14ac:dyDescent="0.25">
      <c r="A155" s="1" t="s">
        <v>40</v>
      </c>
      <c r="B155" s="1" t="s">
        <v>3</v>
      </c>
      <c r="C155">
        <v>10396223</v>
      </c>
    </row>
    <row r="156" spans="1:3" x14ac:dyDescent="0.25">
      <c r="A156" s="1" t="s">
        <v>75</v>
      </c>
      <c r="B156" s="1" t="s">
        <v>3</v>
      </c>
      <c r="C156">
        <v>10396223</v>
      </c>
    </row>
    <row r="157" spans="1:3" x14ac:dyDescent="0.25">
      <c r="A157" s="1" t="s">
        <v>44</v>
      </c>
      <c r="B157" s="1" t="s">
        <v>3</v>
      </c>
      <c r="C157">
        <v>91958</v>
      </c>
    </row>
    <row r="158" spans="1:3" x14ac:dyDescent="0.25">
      <c r="A158" s="1" t="s">
        <v>76</v>
      </c>
      <c r="B158" s="1" t="s">
        <v>3</v>
      </c>
      <c r="C158">
        <v>91958</v>
      </c>
    </row>
    <row r="159" spans="1:3" x14ac:dyDescent="0.25">
      <c r="A159" s="1" t="s">
        <v>42</v>
      </c>
      <c r="B159" s="1" t="s">
        <v>3</v>
      </c>
      <c r="C159">
        <v>17549729</v>
      </c>
    </row>
    <row r="160" spans="1:3" x14ac:dyDescent="0.25">
      <c r="A160" s="1" t="s">
        <v>41</v>
      </c>
      <c r="B160" s="1" t="s">
        <v>3</v>
      </c>
      <c r="C160">
        <v>13744000</v>
      </c>
    </row>
    <row r="161" spans="1:3" x14ac:dyDescent="0.25">
      <c r="A161" s="1" t="s">
        <v>48</v>
      </c>
      <c r="B161" s="1" t="s">
        <v>3</v>
      </c>
      <c r="C161">
        <v>31293729</v>
      </c>
    </row>
    <row r="162" spans="1:3" x14ac:dyDescent="0.25">
      <c r="A162" s="1" t="s">
        <v>39</v>
      </c>
      <c r="B162" s="1" t="s">
        <v>3</v>
      </c>
      <c r="C162">
        <v>-225133</v>
      </c>
    </row>
    <row r="163" spans="1:3" x14ac:dyDescent="0.25">
      <c r="A163" s="1" t="s">
        <v>45</v>
      </c>
      <c r="B163" s="1" t="s">
        <v>3</v>
      </c>
      <c r="C163">
        <v>1004660</v>
      </c>
    </row>
    <row r="164" spans="1:3" x14ac:dyDescent="0.25">
      <c r="A164" s="1" t="s">
        <v>51</v>
      </c>
      <c r="B164" s="1" t="s">
        <v>3</v>
      </c>
      <c r="C164">
        <v>779527</v>
      </c>
    </row>
    <row r="165" spans="1:3" x14ac:dyDescent="0.25">
      <c r="A165" s="1" t="s">
        <v>84</v>
      </c>
      <c r="B165" s="1" t="s">
        <v>3</v>
      </c>
      <c r="C165">
        <v>42561437</v>
      </c>
    </row>
    <row r="166" spans="1:3" x14ac:dyDescent="0.25">
      <c r="A166" s="1" t="s">
        <v>87</v>
      </c>
      <c r="B166" s="1" t="s">
        <v>3</v>
      </c>
      <c r="C166">
        <v>10365126</v>
      </c>
    </row>
    <row r="167" spans="1:3" x14ac:dyDescent="0.25">
      <c r="A167" s="1" t="s">
        <v>90</v>
      </c>
      <c r="B167" s="1" t="s">
        <v>3</v>
      </c>
      <c r="C167">
        <v>52926563</v>
      </c>
    </row>
    <row r="168" spans="1:3" x14ac:dyDescent="0.25">
      <c r="A168" s="1" t="s">
        <v>92</v>
      </c>
      <c r="B168" s="1" t="s">
        <v>3</v>
      </c>
      <c r="C168">
        <v>292630628</v>
      </c>
    </row>
    <row r="169" spans="1:3" x14ac:dyDescent="0.25">
      <c r="A169" s="1" t="s">
        <v>95</v>
      </c>
      <c r="B169" s="1" t="s">
        <v>3</v>
      </c>
      <c r="C169">
        <v>0</v>
      </c>
    </row>
    <row r="170" spans="1:3" x14ac:dyDescent="0.25">
      <c r="A170" s="1" t="s">
        <v>91</v>
      </c>
      <c r="B170" s="1" t="s">
        <v>3</v>
      </c>
      <c r="C170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9EA9-4618-4F71-8448-2F949F608CEF}">
  <sheetPr codeName="工作表10"/>
  <dimension ref="A1:C205"/>
  <sheetViews>
    <sheetView workbookViewId="0">
      <selection sqref="A1:C1"/>
    </sheetView>
  </sheetViews>
  <sheetFormatPr defaultRowHeight="16.5" x14ac:dyDescent="0.25"/>
  <cols>
    <col min="1" max="1" width="67.125" bestFit="1" customWidth="1"/>
    <col min="2" max="2" width="8" bestFit="1" customWidth="1"/>
    <col min="3" max="3" width="11.25" bestFit="1" customWidth="1"/>
    <col min="4" max="4" width="67.125" bestFit="1" customWidth="1"/>
    <col min="5" max="5" width="16" bestFit="1" customWidth="1"/>
    <col min="6" max="6" width="32.125" bestFit="1" customWidth="1"/>
    <col min="7" max="8" width="10.125" bestFit="1" customWidth="1"/>
    <col min="9" max="9" width="11.25" bestFit="1" customWidth="1"/>
  </cols>
  <sheetData>
    <row r="1" spans="1:3" x14ac:dyDescent="0.25">
      <c r="A1" t="s">
        <v>186</v>
      </c>
      <c r="B1" t="s">
        <v>187</v>
      </c>
      <c r="C1" t="s">
        <v>188</v>
      </c>
    </row>
    <row r="2" spans="1:3" x14ac:dyDescent="0.25">
      <c r="A2" s="1" t="s">
        <v>155</v>
      </c>
      <c r="B2" s="1" t="s">
        <v>1</v>
      </c>
      <c r="C2">
        <v>16357359</v>
      </c>
    </row>
    <row r="3" spans="1:3" x14ac:dyDescent="0.25">
      <c r="A3" s="1" t="s">
        <v>148</v>
      </c>
      <c r="B3" s="1" t="s">
        <v>1</v>
      </c>
      <c r="C3">
        <v>16357359</v>
      </c>
    </row>
    <row r="4" spans="1:3" x14ac:dyDescent="0.25">
      <c r="A4" s="1" t="s">
        <v>113</v>
      </c>
      <c r="B4" s="1" t="s">
        <v>1</v>
      </c>
      <c r="C4">
        <v>23045062</v>
      </c>
    </row>
    <row r="5" spans="1:3" x14ac:dyDescent="0.25">
      <c r="A5" s="1" t="s">
        <v>115</v>
      </c>
      <c r="B5" s="1" t="s">
        <v>1</v>
      </c>
      <c r="C5">
        <v>711751</v>
      </c>
    </row>
    <row r="6" spans="1:3" x14ac:dyDescent="0.25">
      <c r="A6" s="1" t="s">
        <v>124</v>
      </c>
      <c r="B6" s="1" t="s">
        <v>1</v>
      </c>
      <c r="C6">
        <v>36661</v>
      </c>
    </row>
    <row r="7" spans="1:3" x14ac:dyDescent="0.25">
      <c r="A7" s="1" t="s">
        <v>122</v>
      </c>
      <c r="B7" s="1" t="s">
        <v>1</v>
      </c>
      <c r="C7">
        <v>-13078</v>
      </c>
    </row>
    <row r="8" spans="1:3" x14ac:dyDescent="0.25">
      <c r="A8" s="1" t="s">
        <v>112</v>
      </c>
      <c r="B8" s="1" t="s">
        <v>1</v>
      </c>
      <c r="C8">
        <v>1379574</v>
      </c>
    </row>
    <row r="9" spans="1:3" x14ac:dyDescent="0.25">
      <c r="A9" s="1" t="s">
        <v>111</v>
      </c>
      <c r="B9" s="1" t="s">
        <v>1</v>
      </c>
      <c r="C9">
        <v>-1569505</v>
      </c>
    </row>
    <row r="10" spans="1:3" x14ac:dyDescent="0.25">
      <c r="A10" s="1" t="s">
        <v>117</v>
      </c>
      <c r="B10" s="1" t="s">
        <v>1</v>
      </c>
      <c r="C10">
        <v>-53884</v>
      </c>
    </row>
    <row r="11" spans="1:3" x14ac:dyDescent="0.25">
      <c r="A11" s="1" t="s">
        <v>114</v>
      </c>
      <c r="B11" s="1" t="s">
        <v>1</v>
      </c>
      <c r="C11">
        <v>-202535</v>
      </c>
    </row>
    <row r="12" spans="1:3" x14ac:dyDescent="0.25">
      <c r="A12" s="1" t="s">
        <v>119</v>
      </c>
      <c r="B12" s="1" t="s">
        <v>1</v>
      </c>
      <c r="C12">
        <v>62045</v>
      </c>
    </row>
    <row r="13" spans="1:3" x14ac:dyDescent="0.25">
      <c r="A13" s="1" t="s">
        <v>120</v>
      </c>
      <c r="B13" s="1" t="s">
        <v>1</v>
      </c>
      <c r="C13">
        <v>365</v>
      </c>
    </row>
    <row r="14" spans="1:3" x14ac:dyDescent="0.25">
      <c r="A14" s="1" t="s">
        <v>110</v>
      </c>
      <c r="B14" s="1" t="s">
        <v>1</v>
      </c>
      <c r="C14">
        <v>-102182</v>
      </c>
    </row>
    <row r="15" spans="1:3" x14ac:dyDescent="0.25">
      <c r="A15" s="1" t="s">
        <v>116</v>
      </c>
      <c r="B15" s="1" t="s">
        <v>1</v>
      </c>
      <c r="C15">
        <v>23294274</v>
      </c>
    </row>
    <row r="16" spans="1:3" x14ac:dyDescent="0.25">
      <c r="A16" s="1" t="s">
        <v>101</v>
      </c>
      <c r="B16" s="1" t="s">
        <v>1</v>
      </c>
      <c r="C16">
        <v>-398998</v>
      </c>
    </row>
    <row r="17" spans="1:3" x14ac:dyDescent="0.25">
      <c r="A17" s="1" t="s">
        <v>104</v>
      </c>
      <c r="B17" s="1" t="s">
        <v>1</v>
      </c>
      <c r="C17">
        <v>-676022</v>
      </c>
    </row>
    <row r="18" spans="1:3" x14ac:dyDescent="0.25">
      <c r="A18" s="1" t="s">
        <v>97</v>
      </c>
      <c r="B18" s="1" t="s">
        <v>1</v>
      </c>
      <c r="C18">
        <v>-271452</v>
      </c>
    </row>
    <row r="19" spans="1:3" x14ac:dyDescent="0.25">
      <c r="A19" s="1" t="s">
        <v>100</v>
      </c>
      <c r="B19" s="1" t="s">
        <v>1</v>
      </c>
      <c r="C19">
        <v>-1756923</v>
      </c>
    </row>
    <row r="20" spans="1:3" x14ac:dyDescent="0.25">
      <c r="A20" s="1" t="s">
        <v>108</v>
      </c>
      <c r="B20" s="1" t="s">
        <v>1</v>
      </c>
      <c r="C20">
        <v>478621</v>
      </c>
    </row>
    <row r="21" spans="1:3" x14ac:dyDescent="0.25">
      <c r="A21" s="1" t="s">
        <v>98</v>
      </c>
      <c r="B21" s="1" t="s">
        <v>1</v>
      </c>
      <c r="C21">
        <v>266640</v>
      </c>
    </row>
    <row r="22" spans="1:3" x14ac:dyDescent="0.25">
      <c r="A22" s="1" t="s">
        <v>107</v>
      </c>
      <c r="B22" s="1" t="s">
        <v>1</v>
      </c>
      <c r="C22">
        <v>-2358134</v>
      </c>
    </row>
    <row r="23" spans="1:3" x14ac:dyDescent="0.25">
      <c r="A23" s="1" t="s">
        <v>99</v>
      </c>
      <c r="B23" s="1" t="s">
        <v>1</v>
      </c>
      <c r="C23">
        <v>551842</v>
      </c>
    </row>
    <row r="24" spans="1:3" x14ac:dyDescent="0.25">
      <c r="A24" s="1" t="s">
        <v>103</v>
      </c>
      <c r="B24" s="1" t="s">
        <v>1</v>
      </c>
      <c r="C24">
        <v>-473</v>
      </c>
    </row>
    <row r="25" spans="1:3" x14ac:dyDescent="0.25">
      <c r="A25" s="1" t="s">
        <v>102</v>
      </c>
      <c r="B25" s="1" t="s">
        <v>1</v>
      </c>
      <c r="C25">
        <v>3229103</v>
      </c>
    </row>
    <row r="26" spans="1:3" x14ac:dyDescent="0.25">
      <c r="A26" s="1" t="s">
        <v>96</v>
      </c>
      <c r="B26" s="1" t="s">
        <v>1</v>
      </c>
      <c r="C26">
        <v>3791730</v>
      </c>
    </row>
    <row r="27" spans="1:3" x14ac:dyDescent="0.25">
      <c r="A27" s="1" t="s">
        <v>109</v>
      </c>
      <c r="B27" s="1" t="s">
        <v>1</v>
      </c>
      <c r="C27">
        <v>125142</v>
      </c>
    </row>
    <row r="28" spans="1:3" x14ac:dyDescent="0.25">
      <c r="A28" s="1" t="s">
        <v>105</v>
      </c>
      <c r="B28" s="1" t="s">
        <v>1</v>
      </c>
      <c r="C28">
        <v>-144006</v>
      </c>
    </row>
    <row r="29" spans="1:3" x14ac:dyDescent="0.25">
      <c r="A29" s="1" t="s">
        <v>106</v>
      </c>
      <c r="B29" s="1" t="s">
        <v>1</v>
      </c>
      <c r="C29">
        <v>7553338</v>
      </c>
    </row>
    <row r="30" spans="1:3" x14ac:dyDescent="0.25">
      <c r="A30" s="1" t="s">
        <v>118</v>
      </c>
      <c r="B30" s="1" t="s">
        <v>1</v>
      </c>
      <c r="C30">
        <v>5195204</v>
      </c>
    </row>
    <row r="31" spans="1:3" x14ac:dyDescent="0.25">
      <c r="A31" s="1" t="s">
        <v>125</v>
      </c>
      <c r="B31" s="1" t="s">
        <v>1</v>
      </c>
      <c r="C31">
        <v>28489478</v>
      </c>
    </row>
    <row r="32" spans="1:3" x14ac:dyDescent="0.25">
      <c r="A32" s="1" t="s">
        <v>149</v>
      </c>
      <c r="B32" s="1" t="s">
        <v>1</v>
      </c>
      <c r="C32">
        <v>44846837</v>
      </c>
    </row>
    <row r="33" spans="1:3" x14ac:dyDescent="0.25">
      <c r="A33" s="1" t="s">
        <v>146</v>
      </c>
      <c r="B33" s="1" t="s">
        <v>1</v>
      </c>
      <c r="C33">
        <v>1492773</v>
      </c>
    </row>
    <row r="34" spans="1:3" x14ac:dyDescent="0.25">
      <c r="A34" s="1" t="s">
        <v>147</v>
      </c>
      <c r="B34" s="1" t="s">
        <v>1</v>
      </c>
      <c r="C34">
        <v>598760</v>
      </c>
    </row>
    <row r="35" spans="1:3" x14ac:dyDescent="0.25">
      <c r="A35" s="1" t="s">
        <v>145</v>
      </c>
      <c r="B35" s="1" t="s">
        <v>1</v>
      </c>
      <c r="C35">
        <v>-1379605</v>
      </c>
    </row>
    <row r="36" spans="1:3" x14ac:dyDescent="0.25">
      <c r="A36" s="1" t="s">
        <v>162</v>
      </c>
      <c r="B36" s="1" t="s">
        <v>1</v>
      </c>
      <c r="C36">
        <v>-3170251</v>
      </c>
    </row>
    <row r="37" spans="1:3" x14ac:dyDescent="0.25">
      <c r="A37" s="1" t="s">
        <v>169</v>
      </c>
      <c r="B37" s="1" t="s">
        <v>1</v>
      </c>
      <c r="C37">
        <v>42388514</v>
      </c>
    </row>
    <row r="38" spans="1:3" x14ac:dyDescent="0.25">
      <c r="A38" s="1" t="s">
        <v>136</v>
      </c>
      <c r="B38" s="1" t="s">
        <v>1</v>
      </c>
      <c r="C38">
        <v>-6978609</v>
      </c>
    </row>
    <row r="39" spans="1:3" x14ac:dyDescent="0.25">
      <c r="A39" s="1" t="s">
        <v>137</v>
      </c>
      <c r="B39" s="1" t="s">
        <v>1</v>
      </c>
      <c r="C39">
        <v>-5442963</v>
      </c>
    </row>
    <row r="40" spans="1:3" x14ac:dyDescent="0.25">
      <c r="A40" s="1" t="s">
        <v>164</v>
      </c>
      <c r="B40" s="1" t="s">
        <v>1</v>
      </c>
      <c r="C40">
        <v>-300000</v>
      </c>
    </row>
    <row r="41" spans="1:3" x14ac:dyDescent="0.25">
      <c r="A41" s="1" t="s">
        <v>133</v>
      </c>
      <c r="B41" s="1" t="s">
        <v>1</v>
      </c>
      <c r="C41">
        <v>-12565647</v>
      </c>
    </row>
    <row r="42" spans="1:3" x14ac:dyDescent="0.25">
      <c r="A42" s="1" t="s">
        <v>157</v>
      </c>
      <c r="B42" s="1" t="s">
        <v>1</v>
      </c>
      <c r="C42">
        <v>284838</v>
      </c>
    </row>
    <row r="43" spans="1:3" x14ac:dyDescent="0.25">
      <c r="A43" s="1" t="s">
        <v>141</v>
      </c>
      <c r="B43" s="1" t="s">
        <v>1</v>
      </c>
      <c r="C43">
        <v>-180075</v>
      </c>
    </row>
    <row r="44" spans="1:3" x14ac:dyDescent="0.25">
      <c r="A44" s="1" t="s">
        <v>138</v>
      </c>
      <c r="B44" s="1" t="s">
        <v>1</v>
      </c>
      <c r="C44">
        <v>-446732</v>
      </c>
    </row>
    <row r="45" spans="1:3" x14ac:dyDescent="0.25">
      <c r="A45" s="1" t="s">
        <v>135</v>
      </c>
      <c r="B45" s="1" t="s">
        <v>1</v>
      </c>
      <c r="C45">
        <v>-428782</v>
      </c>
    </row>
    <row r="46" spans="1:3" x14ac:dyDescent="0.25">
      <c r="A46" s="1" t="s">
        <v>159</v>
      </c>
      <c r="B46" s="1" t="s">
        <v>1</v>
      </c>
      <c r="C46">
        <v>0</v>
      </c>
    </row>
    <row r="47" spans="1:3" x14ac:dyDescent="0.25">
      <c r="A47" s="1" t="s">
        <v>131</v>
      </c>
      <c r="B47" s="1" t="s">
        <v>1</v>
      </c>
      <c r="C47">
        <v>-950903</v>
      </c>
    </row>
    <row r="48" spans="1:3" x14ac:dyDescent="0.25">
      <c r="A48" s="1" t="s">
        <v>144</v>
      </c>
      <c r="B48" s="1" t="s">
        <v>1</v>
      </c>
      <c r="C48">
        <v>-27008873</v>
      </c>
    </row>
    <row r="49" spans="1:3" x14ac:dyDescent="0.25">
      <c r="A49" s="1" t="s">
        <v>151</v>
      </c>
      <c r="B49" s="1" t="s">
        <v>1</v>
      </c>
      <c r="C49">
        <v>547821</v>
      </c>
    </row>
    <row r="50" spans="1:3" x14ac:dyDescent="0.25">
      <c r="A50" s="1" t="s">
        <v>142</v>
      </c>
      <c r="B50" s="1" t="s">
        <v>1</v>
      </c>
      <c r="C50">
        <v>3497090</v>
      </c>
    </row>
    <row r="51" spans="1:3" x14ac:dyDescent="0.25">
      <c r="A51" s="1" t="s">
        <v>156</v>
      </c>
      <c r="B51" s="1" t="s">
        <v>1</v>
      </c>
      <c r="C51">
        <v>6111368</v>
      </c>
    </row>
    <row r="52" spans="1:3" x14ac:dyDescent="0.25">
      <c r="A52" s="1" t="s">
        <v>126</v>
      </c>
      <c r="B52" s="1" t="s">
        <v>1</v>
      </c>
      <c r="C52">
        <v>-365539</v>
      </c>
    </row>
    <row r="53" spans="1:3" x14ac:dyDescent="0.25">
      <c r="A53" s="1" t="s">
        <v>139</v>
      </c>
      <c r="B53" s="1" t="s">
        <v>1</v>
      </c>
      <c r="C53">
        <v>242016</v>
      </c>
    </row>
    <row r="54" spans="1:3" x14ac:dyDescent="0.25">
      <c r="A54" s="1" t="s">
        <v>153</v>
      </c>
      <c r="B54" s="1" t="s">
        <v>1</v>
      </c>
      <c r="C54">
        <v>-14415894</v>
      </c>
    </row>
    <row r="55" spans="1:3" x14ac:dyDescent="0.25">
      <c r="A55" s="1" t="s">
        <v>129</v>
      </c>
      <c r="B55" s="1" t="s">
        <v>1</v>
      </c>
      <c r="C55">
        <v>26981</v>
      </c>
    </row>
    <row r="56" spans="1:3" x14ac:dyDescent="0.25">
      <c r="A56" s="1" t="s">
        <v>130</v>
      </c>
      <c r="B56" s="1" t="s">
        <v>1</v>
      </c>
      <c r="C56">
        <v>0</v>
      </c>
    </row>
    <row r="57" spans="1:3" x14ac:dyDescent="0.25">
      <c r="A57" s="1" t="s">
        <v>150</v>
      </c>
      <c r="B57" s="1" t="s">
        <v>1</v>
      </c>
      <c r="C57">
        <v>-10590115</v>
      </c>
    </row>
    <row r="58" spans="1:3" x14ac:dyDescent="0.25">
      <c r="A58" s="1" t="s">
        <v>134</v>
      </c>
      <c r="B58" s="1" t="s">
        <v>1</v>
      </c>
      <c r="C58">
        <v>0</v>
      </c>
    </row>
    <row r="59" spans="1:3" x14ac:dyDescent="0.25">
      <c r="A59" s="1" t="s">
        <v>163</v>
      </c>
      <c r="B59" s="1" t="s">
        <v>1</v>
      </c>
      <c r="C59">
        <v>8644</v>
      </c>
    </row>
    <row r="60" spans="1:3" x14ac:dyDescent="0.25">
      <c r="A60" s="1" t="s">
        <v>128</v>
      </c>
      <c r="B60" s="1" t="s">
        <v>1</v>
      </c>
      <c r="C60">
        <v>-302</v>
      </c>
    </row>
    <row r="61" spans="1:3" x14ac:dyDescent="0.25">
      <c r="A61" s="1" t="s">
        <v>154</v>
      </c>
      <c r="B61" s="1" t="s">
        <v>1</v>
      </c>
      <c r="C61">
        <v>-14937930</v>
      </c>
    </row>
    <row r="62" spans="1:3" x14ac:dyDescent="0.25">
      <c r="A62" s="1" t="s">
        <v>165</v>
      </c>
      <c r="B62" s="1" t="s">
        <v>1</v>
      </c>
      <c r="C62">
        <v>-52507</v>
      </c>
    </row>
    <row r="63" spans="1:3" x14ac:dyDescent="0.25">
      <c r="A63" s="1" t="s">
        <v>168</v>
      </c>
      <c r="B63" s="1" t="s">
        <v>1</v>
      </c>
      <c r="C63">
        <v>389204</v>
      </c>
    </row>
    <row r="64" spans="1:3" x14ac:dyDescent="0.25">
      <c r="A64" s="1" t="s">
        <v>166</v>
      </c>
      <c r="B64" s="1" t="s">
        <v>1</v>
      </c>
      <c r="C64">
        <v>48540378</v>
      </c>
    </row>
    <row r="65" spans="1:3" x14ac:dyDescent="0.25">
      <c r="A65" s="1" t="s">
        <v>167</v>
      </c>
      <c r="B65" s="1" t="s">
        <v>1</v>
      </c>
      <c r="C65">
        <v>48929582</v>
      </c>
    </row>
    <row r="66" spans="1:3" x14ac:dyDescent="0.25">
      <c r="A66" s="1" t="s">
        <v>161</v>
      </c>
      <c r="B66" s="1" t="s">
        <v>1</v>
      </c>
      <c r="C66">
        <v>48929582</v>
      </c>
    </row>
    <row r="67" spans="1:3" x14ac:dyDescent="0.25">
      <c r="A67" s="1" t="s">
        <v>155</v>
      </c>
      <c r="B67" s="1" t="s">
        <v>2</v>
      </c>
      <c r="C67">
        <v>17361587</v>
      </c>
    </row>
    <row r="68" spans="1:3" x14ac:dyDescent="0.25">
      <c r="A68" s="1" t="s">
        <v>148</v>
      </c>
      <c r="B68" s="1" t="s">
        <v>2</v>
      </c>
      <c r="C68">
        <v>17361587</v>
      </c>
    </row>
    <row r="69" spans="1:3" x14ac:dyDescent="0.25">
      <c r="A69" s="1" t="s">
        <v>113</v>
      </c>
      <c r="B69" s="1" t="s">
        <v>2</v>
      </c>
      <c r="C69">
        <v>24210246</v>
      </c>
    </row>
    <row r="70" spans="1:3" x14ac:dyDescent="0.25">
      <c r="A70" s="1" t="s">
        <v>115</v>
      </c>
      <c r="B70" s="1" t="s">
        <v>2</v>
      </c>
      <c r="C70">
        <v>775125</v>
      </c>
    </row>
    <row r="71" spans="1:3" x14ac:dyDescent="0.25">
      <c r="A71" s="1" t="s">
        <v>124</v>
      </c>
      <c r="B71" s="1" t="s">
        <v>2</v>
      </c>
      <c r="C71">
        <v>22832</v>
      </c>
    </row>
    <row r="72" spans="1:3" x14ac:dyDescent="0.25">
      <c r="A72" s="1" t="s">
        <v>122</v>
      </c>
      <c r="B72" s="1" t="s">
        <v>2</v>
      </c>
      <c r="C72">
        <v>-22904</v>
      </c>
    </row>
    <row r="73" spans="1:3" x14ac:dyDescent="0.25">
      <c r="A73" s="1" t="s">
        <v>112</v>
      </c>
      <c r="B73" s="1" t="s">
        <v>2</v>
      </c>
      <c r="C73">
        <v>1620707</v>
      </c>
    </row>
    <row r="74" spans="1:3" x14ac:dyDescent="0.25">
      <c r="A74" s="1" t="s">
        <v>111</v>
      </c>
      <c r="B74" s="1" t="s">
        <v>2</v>
      </c>
      <c r="C74">
        <v>-1754562</v>
      </c>
    </row>
    <row r="75" spans="1:3" x14ac:dyDescent="0.25">
      <c r="A75" s="1" t="s">
        <v>117</v>
      </c>
      <c r="B75" s="1" t="s">
        <v>2</v>
      </c>
      <c r="C75">
        <v>-102587</v>
      </c>
    </row>
    <row r="76" spans="1:3" x14ac:dyDescent="0.25">
      <c r="A76" s="1" t="s">
        <v>114</v>
      </c>
      <c r="B76" s="1" t="s">
        <v>2</v>
      </c>
      <c r="C76">
        <v>-332347</v>
      </c>
    </row>
    <row r="77" spans="1:3" x14ac:dyDescent="0.25">
      <c r="A77" s="1" t="s">
        <v>119</v>
      </c>
      <c r="B77" s="1" t="s">
        <v>2</v>
      </c>
      <c r="C77">
        <v>42594</v>
      </c>
    </row>
    <row r="78" spans="1:3" x14ac:dyDescent="0.25">
      <c r="A78" s="1" t="s">
        <v>120</v>
      </c>
      <c r="B78" s="1" t="s">
        <v>2</v>
      </c>
      <c r="C78">
        <v>-1835</v>
      </c>
    </row>
    <row r="79" spans="1:3" x14ac:dyDescent="0.25">
      <c r="A79" s="1" t="s">
        <v>121</v>
      </c>
      <c r="B79" s="1" t="s">
        <v>2</v>
      </c>
      <c r="C79">
        <v>-292954</v>
      </c>
    </row>
    <row r="80" spans="1:3" x14ac:dyDescent="0.25">
      <c r="A80" s="1" t="s">
        <v>110</v>
      </c>
      <c r="B80" s="1" t="s">
        <v>2</v>
      </c>
      <c r="C80">
        <v>-90919</v>
      </c>
    </row>
    <row r="81" spans="1:3" x14ac:dyDescent="0.25">
      <c r="A81" s="1" t="s">
        <v>116</v>
      </c>
      <c r="B81" s="1" t="s">
        <v>2</v>
      </c>
      <c r="C81">
        <v>24073396</v>
      </c>
    </row>
    <row r="82" spans="1:3" x14ac:dyDescent="0.25">
      <c r="A82" s="1" t="s">
        <v>101</v>
      </c>
      <c r="B82" s="1" t="s">
        <v>2</v>
      </c>
      <c r="C82">
        <v>-596418</v>
      </c>
    </row>
    <row r="83" spans="1:3" x14ac:dyDescent="0.25">
      <c r="A83" s="1" t="s">
        <v>104</v>
      </c>
      <c r="B83" s="1" t="s">
        <v>2</v>
      </c>
      <c r="C83">
        <v>-320073</v>
      </c>
    </row>
    <row r="84" spans="1:3" x14ac:dyDescent="0.25">
      <c r="A84" s="1" t="s">
        <v>97</v>
      </c>
      <c r="B84" s="1" t="s">
        <v>2</v>
      </c>
      <c r="C84">
        <v>-437971</v>
      </c>
    </row>
    <row r="85" spans="1:3" x14ac:dyDescent="0.25">
      <c r="A85" s="1" t="s">
        <v>100</v>
      </c>
      <c r="B85" s="1" t="s">
        <v>2</v>
      </c>
      <c r="C85">
        <v>-204581</v>
      </c>
    </row>
    <row r="86" spans="1:3" x14ac:dyDescent="0.25">
      <c r="A86" s="1" t="s">
        <v>108</v>
      </c>
      <c r="B86" s="1" t="s">
        <v>2</v>
      </c>
      <c r="C86">
        <v>-62536</v>
      </c>
    </row>
    <row r="87" spans="1:3" x14ac:dyDescent="0.25">
      <c r="A87" s="1" t="s">
        <v>98</v>
      </c>
      <c r="B87" s="1" t="s">
        <v>2</v>
      </c>
      <c r="C87">
        <v>-426833</v>
      </c>
    </row>
    <row r="88" spans="1:3" x14ac:dyDescent="0.25">
      <c r="A88" s="1" t="s">
        <v>107</v>
      </c>
      <c r="B88" s="1" t="s">
        <v>2</v>
      </c>
      <c r="C88">
        <v>-2048412</v>
      </c>
    </row>
    <row r="89" spans="1:3" x14ac:dyDescent="0.25">
      <c r="A89" s="1" t="s">
        <v>99</v>
      </c>
      <c r="B89" s="1" t="s">
        <v>2</v>
      </c>
      <c r="C89">
        <v>1129646</v>
      </c>
    </row>
    <row r="90" spans="1:3" x14ac:dyDescent="0.25">
      <c r="A90" s="1" t="s">
        <v>103</v>
      </c>
      <c r="B90" s="1" t="s">
        <v>2</v>
      </c>
      <c r="C90">
        <v>-1157619</v>
      </c>
    </row>
    <row r="91" spans="1:3" x14ac:dyDescent="0.25">
      <c r="A91" s="1" t="s">
        <v>102</v>
      </c>
      <c r="B91" s="1" t="s">
        <v>2</v>
      </c>
      <c r="C91">
        <v>2799558</v>
      </c>
    </row>
    <row r="92" spans="1:3" x14ac:dyDescent="0.25">
      <c r="A92" s="1" t="s">
        <v>96</v>
      </c>
      <c r="B92" s="1" t="s">
        <v>2</v>
      </c>
      <c r="C92">
        <v>-1138830</v>
      </c>
    </row>
    <row r="93" spans="1:3" x14ac:dyDescent="0.25">
      <c r="A93" s="1" t="s">
        <v>109</v>
      </c>
      <c r="B93" s="1" t="s">
        <v>2</v>
      </c>
      <c r="C93">
        <v>445755</v>
      </c>
    </row>
    <row r="94" spans="1:3" x14ac:dyDescent="0.25">
      <c r="A94" s="1" t="s">
        <v>105</v>
      </c>
      <c r="B94" s="1" t="s">
        <v>2</v>
      </c>
      <c r="C94">
        <v>-185094</v>
      </c>
    </row>
    <row r="95" spans="1:3" x14ac:dyDescent="0.25">
      <c r="A95" s="1" t="s">
        <v>106</v>
      </c>
      <c r="B95" s="1" t="s">
        <v>2</v>
      </c>
      <c r="C95">
        <v>1893416</v>
      </c>
    </row>
    <row r="96" spans="1:3" x14ac:dyDescent="0.25">
      <c r="A96" s="1" t="s">
        <v>118</v>
      </c>
      <c r="B96" s="1" t="s">
        <v>2</v>
      </c>
      <c r="C96">
        <v>-154996</v>
      </c>
    </row>
    <row r="97" spans="1:3" x14ac:dyDescent="0.25">
      <c r="A97" s="1" t="s">
        <v>125</v>
      </c>
      <c r="B97" s="1" t="s">
        <v>2</v>
      </c>
      <c r="C97">
        <v>23918400</v>
      </c>
    </row>
    <row r="98" spans="1:3" x14ac:dyDescent="0.25">
      <c r="A98" s="1" t="s">
        <v>149</v>
      </c>
      <c r="B98" s="1" t="s">
        <v>2</v>
      </c>
      <c r="C98">
        <v>41279987</v>
      </c>
    </row>
    <row r="99" spans="1:3" x14ac:dyDescent="0.25">
      <c r="A99" s="1" t="s">
        <v>146</v>
      </c>
      <c r="B99" s="1" t="s">
        <v>2</v>
      </c>
      <c r="C99">
        <v>1517041</v>
      </c>
    </row>
    <row r="100" spans="1:3" x14ac:dyDescent="0.25">
      <c r="A100" s="1" t="s">
        <v>147</v>
      </c>
      <c r="B100" s="1" t="s">
        <v>2</v>
      </c>
      <c r="C100">
        <v>207152</v>
      </c>
    </row>
    <row r="101" spans="1:3" x14ac:dyDescent="0.25">
      <c r="A101" s="1" t="s">
        <v>145</v>
      </c>
      <c r="B101" s="1" t="s">
        <v>2</v>
      </c>
      <c r="C101">
        <v>-1620603</v>
      </c>
    </row>
    <row r="102" spans="1:3" x14ac:dyDescent="0.25">
      <c r="A102" s="1" t="s">
        <v>162</v>
      </c>
      <c r="B102" s="1" t="s">
        <v>2</v>
      </c>
      <c r="C102">
        <v>-4622679</v>
      </c>
    </row>
    <row r="103" spans="1:3" x14ac:dyDescent="0.25">
      <c r="A103" s="1" t="s">
        <v>169</v>
      </c>
      <c r="B103" s="1" t="s">
        <v>2</v>
      </c>
      <c r="C103">
        <v>36760898</v>
      </c>
    </row>
    <row r="104" spans="1:3" x14ac:dyDescent="0.25">
      <c r="A104" s="1" t="s">
        <v>136</v>
      </c>
      <c r="B104" s="1" t="s">
        <v>2</v>
      </c>
      <c r="C104">
        <v>-219974</v>
      </c>
    </row>
    <row r="105" spans="1:3" x14ac:dyDescent="0.25">
      <c r="A105" s="1" t="s">
        <v>160</v>
      </c>
      <c r="B105" s="1" t="s">
        <v>2</v>
      </c>
      <c r="C105">
        <v>7211268</v>
      </c>
    </row>
    <row r="106" spans="1:3" x14ac:dyDescent="0.25">
      <c r="A106" s="1" t="s">
        <v>137</v>
      </c>
      <c r="B106" s="1" t="s">
        <v>2</v>
      </c>
      <c r="C106">
        <v>0</v>
      </c>
    </row>
    <row r="107" spans="1:3" x14ac:dyDescent="0.25">
      <c r="A107" s="1" t="s">
        <v>164</v>
      </c>
      <c r="B107" s="1" t="s">
        <v>2</v>
      </c>
      <c r="C107">
        <v>-5100000</v>
      </c>
    </row>
    <row r="108" spans="1:3" x14ac:dyDescent="0.25">
      <c r="A108" s="1" t="s">
        <v>158</v>
      </c>
      <c r="B108" s="1" t="s">
        <v>2</v>
      </c>
      <c r="C108">
        <v>88804</v>
      </c>
    </row>
    <row r="109" spans="1:3" x14ac:dyDescent="0.25">
      <c r="A109" s="1" t="s">
        <v>133</v>
      </c>
      <c r="B109" s="1" t="s">
        <v>2</v>
      </c>
      <c r="C109">
        <v>-14652109</v>
      </c>
    </row>
    <row r="110" spans="1:3" x14ac:dyDescent="0.25">
      <c r="A110" s="1" t="s">
        <v>157</v>
      </c>
      <c r="B110" s="1" t="s">
        <v>2</v>
      </c>
      <c r="C110">
        <v>379780</v>
      </c>
    </row>
    <row r="111" spans="1:3" x14ac:dyDescent="0.25">
      <c r="A111" s="1" t="s">
        <v>141</v>
      </c>
      <c r="B111" s="1" t="s">
        <v>2</v>
      </c>
      <c r="C111">
        <v>-365472</v>
      </c>
    </row>
    <row r="112" spans="1:3" x14ac:dyDescent="0.25">
      <c r="A112" s="1" t="s">
        <v>138</v>
      </c>
      <c r="B112" s="1" t="s">
        <v>2</v>
      </c>
      <c r="C112">
        <v>-345625</v>
      </c>
    </row>
    <row r="113" spans="1:3" x14ac:dyDescent="0.25">
      <c r="A113" s="1" t="s">
        <v>135</v>
      </c>
      <c r="B113" s="1" t="s">
        <v>2</v>
      </c>
      <c r="C113">
        <v>0</v>
      </c>
    </row>
    <row r="114" spans="1:3" x14ac:dyDescent="0.25">
      <c r="A114" s="1" t="s">
        <v>159</v>
      </c>
      <c r="B114" s="1" t="s">
        <v>2</v>
      </c>
      <c r="C114">
        <v>17931</v>
      </c>
    </row>
    <row r="115" spans="1:3" x14ac:dyDescent="0.25">
      <c r="A115" s="1" t="s">
        <v>131</v>
      </c>
      <c r="B115" s="1" t="s">
        <v>2</v>
      </c>
      <c r="C115">
        <v>0</v>
      </c>
    </row>
    <row r="116" spans="1:3" x14ac:dyDescent="0.25">
      <c r="A116" s="1" t="s">
        <v>132</v>
      </c>
      <c r="B116" s="1" t="s">
        <v>2</v>
      </c>
      <c r="C116">
        <v>146916</v>
      </c>
    </row>
    <row r="117" spans="1:3" x14ac:dyDescent="0.25">
      <c r="A117" s="1" t="s">
        <v>144</v>
      </c>
      <c r="B117" s="1" t="s">
        <v>2</v>
      </c>
      <c r="C117">
        <v>-12838481</v>
      </c>
    </row>
    <row r="118" spans="1:3" x14ac:dyDescent="0.25">
      <c r="A118" s="1" t="s">
        <v>151</v>
      </c>
      <c r="B118" s="1" t="s">
        <v>2</v>
      </c>
      <c r="C118">
        <v>86601309</v>
      </c>
    </row>
    <row r="119" spans="1:3" x14ac:dyDescent="0.25">
      <c r="A119" s="1" t="s">
        <v>152</v>
      </c>
      <c r="B119" s="1" t="s">
        <v>2</v>
      </c>
      <c r="C119">
        <v>-89915205</v>
      </c>
    </row>
    <row r="120" spans="1:3" x14ac:dyDescent="0.25">
      <c r="A120" s="1" t="s">
        <v>142</v>
      </c>
      <c r="B120" s="1" t="s">
        <v>2</v>
      </c>
      <c r="C120">
        <v>22234373</v>
      </c>
    </row>
    <row r="121" spans="1:3" x14ac:dyDescent="0.25">
      <c r="A121" s="1" t="s">
        <v>143</v>
      </c>
      <c r="B121" s="1" t="s">
        <v>2</v>
      </c>
      <c r="C121">
        <v>-23633322</v>
      </c>
    </row>
    <row r="122" spans="1:3" x14ac:dyDescent="0.25">
      <c r="A122" s="1" t="s">
        <v>156</v>
      </c>
      <c r="B122" s="1" t="s">
        <v>2</v>
      </c>
      <c r="C122">
        <v>44432317</v>
      </c>
    </row>
    <row r="123" spans="1:3" x14ac:dyDescent="0.25">
      <c r="A123" s="1" t="s">
        <v>126</v>
      </c>
      <c r="B123" s="1" t="s">
        <v>2</v>
      </c>
      <c r="C123">
        <v>-36101245</v>
      </c>
    </row>
    <row r="124" spans="1:3" x14ac:dyDescent="0.25">
      <c r="A124" s="1" t="s">
        <v>139</v>
      </c>
      <c r="B124" s="1" t="s">
        <v>2</v>
      </c>
      <c r="C124">
        <v>10246</v>
      </c>
    </row>
    <row r="125" spans="1:3" x14ac:dyDescent="0.25">
      <c r="A125" s="1" t="s">
        <v>153</v>
      </c>
      <c r="B125" s="1" t="s">
        <v>2</v>
      </c>
      <c r="C125">
        <v>-14832900</v>
      </c>
    </row>
    <row r="126" spans="1:3" x14ac:dyDescent="0.25">
      <c r="A126" s="1" t="s">
        <v>129</v>
      </c>
      <c r="B126" s="1" t="s">
        <v>2</v>
      </c>
      <c r="C126">
        <v>664</v>
      </c>
    </row>
    <row r="127" spans="1:3" x14ac:dyDescent="0.25">
      <c r="A127" s="1" t="s">
        <v>150</v>
      </c>
      <c r="B127" s="1" t="s">
        <v>2</v>
      </c>
      <c r="C127">
        <v>-12066225</v>
      </c>
    </row>
    <row r="128" spans="1:3" x14ac:dyDescent="0.25">
      <c r="A128" s="1" t="s">
        <v>163</v>
      </c>
      <c r="B128" s="1" t="s">
        <v>2</v>
      </c>
      <c r="C128">
        <v>-61383</v>
      </c>
    </row>
    <row r="129" spans="1:3" x14ac:dyDescent="0.25">
      <c r="A129" s="1" t="s">
        <v>128</v>
      </c>
      <c r="B129" s="1" t="s">
        <v>2</v>
      </c>
      <c r="C129">
        <v>-181</v>
      </c>
    </row>
    <row r="130" spans="1:3" x14ac:dyDescent="0.25">
      <c r="A130" s="1" t="s">
        <v>154</v>
      </c>
      <c r="B130" s="1" t="s">
        <v>2</v>
      </c>
      <c r="C130">
        <v>-23331552</v>
      </c>
    </row>
    <row r="131" spans="1:3" x14ac:dyDescent="0.25">
      <c r="A131" s="1" t="s">
        <v>165</v>
      </c>
      <c r="B131" s="1" t="s">
        <v>2</v>
      </c>
      <c r="C131">
        <v>1747265</v>
      </c>
    </row>
    <row r="132" spans="1:3" x14ac:dyDescent="0.25">
      <c r="A132" s="1" t="s">
        <v>168</v>
      </c>
      <c r="B132" s="1" t="s">
        <v>2</v>
      </c>
      <c r="C132">
        <v>2338130</v>
      </c>
    </row>
    <row r="133" spans="1:3" x14ac:dyDescent="0.25">
      <c r="A133" s="1" t="s">
        <v>166</v>
      </c>
      <c r="B133" s="1" t="s">
        <v>2</v>
      </c>
      <c r="C133">
        <v>48929582</v>
      </c>
    </row>
    <row r="134" spans="1:3" x14ac:dyDescent="0.25">
      <c r="A134" s="1" t="s">
        <v>167</v>
      </c>
      <c r="B134" s="1" t="s">
        <v>2</v>
      </c>
      <c r="C134">
        <v>51267712</v>
      </c>
    </row>
    <row r="135" spans="1:3" x14ac:dyDescent="0.25">
      <c r="A135" s="1" t="s">
        <v>161</v>
      </c>
      <c r="B135" s="1" t="s">
        <v>2</v>
      </c>
      <c r="C135">
        <v>51267712</v>
      </c>
    </row>
    <row r="136" spans="1:3" x14ac:dyDescent="0.25">
      <c r="A136" s="1" t="s">
        <v>155</v>
      </c>
      <c r="B136" s="1" t="s">
        <v>3</v>
      </c>
      <c r="C136">
        <v>16945041</v>
      </c>
    </row>
    <row r="137" spans="1:3" x14ac:dyDescent="0.25">
      <c r="A137" s="1" t="s">
        <v>148</v>
      </c>
      <c r="B137" s="1" t="s">
        <v>3</v>
      </c>
      <c r="C137">
        <v>16945041</v>
      </c>
    </row>
    <row r="138" spans="1:3" x14ac:dyDescent="0.25">
      <c r="A138" s="1" t="s">
        <v>113</v>
      </c>
      <c r="B138" s="1" t="s">
        <v>3</v>
      </c>
      <c r="C138">
        <v>25806858</v>
      </c>
    </row>
    <row r="139" spans="1:3" x14ac:dyDescent="0.25">
      <c r="A139" s="1" t="s">
        <v>115</v>
      </c>
      <c r="B139" s="1" t="s">
        <v>3</v>
      </c>
      <c r="C139">
        <v>773207</v>
      </c>
    </row>
    <row r="140" spans="1:3" x14ac:dyDescent="0.25">
      <c r="A140" s="1" t="s">
        <v>124</v>
      </c>
      <c r="B140" s="1" t="s">
        <v>3</v>
      </c>
      <c r="C140">
        <v>4156</v>
      </c>
    </row>
    <row r="141" spans="1:3" x14ac:dyDescent="0.25">
      <c r="A141" s="1" t="s">
        <v>122</v>
      </c>
      <c r="B141" s="1" t="s">
        <v>3</v>
      </c>
      <c r="C141">
        <v>-134323</v>
      </c>
    </row>
    <row r="142" spans="1:3" x14ac:dyDescent="0.25">
      <c r="A142" s="1" t="s">
        <v>112</v>
      </c>
      <c r="B142" s="1" t="s">
        <v>3</v>
      </c>
      <c r="C142">
        <v>2080499</v>
      </c>
    </row>
    <row r="143" spans="1:3" x14ac:dyDescent="0.25">
      <c r="A143" s="1" t="s">
        <v>111</v>
      </c>
      <c r="B143" s="1" t="s">
        <v>3</v>
      </c>
      <c r="C143">
        <v>-1463634</v>
      </c>
    </row>
    <row r="144" spans="1:3" x14ac:dyDescent="0.25">
      <c r="A144" s="1" t="s">
        <v>117</v>
      </c>
      <c r="B144" s="1" t="s">
        <v>3</v>
      </c>
      <c r="C144">
        <v>-121042</v>
      </c>
    </row>
    <row r="145" spans="1:3" x14ac:dyDescent="0.25">
      <c r="A145" s="1" t="s">
        <v>114</v>
      </c>
      <c r="B145" s="1" t="s">
        <v>3</v>
      </c>
      <c r="C145">
        <v>-336556</v>
      </c>
    </row>
    <row r="146" spans="1:3" x14ac:dyDescent="0.25">
      <c r="A146" s="1" t="s">
        <v>119</v>
      </c>
      <c r="B146" s="1" t="s">
        <v>3</v>
      </c>
      <c r="C146">
        <v>63989</v>
      </c>
    </row>
    <row r="147" spans="1:3" x14ac:dyDescent="0.25">
      <c r="A147" s="1" t="s">
        <v>120</v>
      </c>
      <c r="B147" s="1" t="s">
        <v>3</v>
      </c>
      <c r="C147">
        <v>-3742</v>
      </c>
    </row>
    <row r="148" spans="1:3" x14ac:dyDescent="0.25">
      <c r="A148" s="1" t="s">
        <v>121</v>
      </c>
      <c r="B148" s="1" t="s">
        <v>3</v>
      </c>
      <c r="C148">
        <v>0</v>
      </c>
    </row>
    <row r="149" spans="1:3" x14ac:dyDescent="0.25">
      <c r="A149" s="1" t="s">
        <v>123</v>
      </c>
      <c r="B149" s="1" t="s">
        <v>3</v>
      </c>
      <c r="C149">
        <v>48574</v>
      </c>
    </row>
    <row r="150" spans="1:3" x14ac:dyDescent="0.25">
      <c r="A150" s="1" t="s">
        <v>110</v>
      </c>
      <c r="B150" s="1" t="s">
        <v>3</v>
      </c>
      <c r="C150">
        <v>-127205</v>
      </c>
    </row>
    <row r="151" spans="1:3" x14ac:dyDescent="0.25">
      <c r="A151" s="1" t="s">
        <v>116</v>
      </c>
      <c r="B151" s="1" t="s">
        <v>3</v>
      </c>
      <c r="C151">
        <v>26590781</v>
      </c>
    </row>
    <row r="152" spans="1:3" x14ac:dyDescent="0.25">
      <c r="A152" s="1" t="s">
        <v>101</v>
      </c>
      <c r="B152" s="1" t="s">
        <v>3</v>
      </c>
      <c r="C152">
        <v>388848</v>
      </c>
    </row>
    <row r="153" spans="1:3" x14ac:dyDescent="0.25">
      <c r="A153" s="1" t="s">
        <v>104</v>
      </c>
      <c r="B153" s="1" t="s">
        <v>3</v>
      </c>
      <c r="C153">
        <v>-43760</v>
      </c>
    </row>
    <row r="154" spans="1:3" x14ac:dyDescent="0.25">
      <c r="A154" s="1" t="s">
        <v>97</v>
      </c>
      <c r="B154" s="1" t="s">
        <v>3</v>
      </c>
      <c r="C154">
        <v>-64843</v>
      </c>
    </row>
    <row r="155" spans="1:3" x14ac:dyDescent="0.25">
      <c r="A155" s="1" t="s">
        <v>100</v>
      </c>
      <c r="B155" s="1" t="s">
        <v>3</v>
      </c>
      <c r="C155">
        <v>-3077140</v>
      </c>
    </row>
    <row r="156" spans="1:3" x14ac:dyDescent="0.25">
      <c r="A156" s="1" t="s">
        <v>108</v>
      </c>
      <c r="B156" s="1" t="s">
        <v>3</v>
      </c>
      <c r="C156">
        <v>-288650</v>
      </c>
    </row>
    <row r="157" spans="1:3" x14ac:dyDescent="0.25">
      <c r="A157" s="1" t="s">
        <v>98</v>
      </c>
      <c r="B157" s="1" t="s">
        <v>3</v>
      </c>
      <c r="C157">
        <v>264865</v>
      </c>
    </row>
    <row r="158" spans="1:3" x14ac:dyDescent="0.25">
      <c r="A158" s="1" t="s">
        <v>107</v>
      </c>
      <c r="B158" s="1" t="s">
        <v>3</v>
      </c>
      <c r="C158">
        <v>-2820680</v>
      </c>
    </row>
    <row r="159" spans="1:3" x14ac:dyDescent="0.25">
      <c r="A159" s="1" t="s">
        <v>99</v>
      </c>
      <c r="B159" s="1" t="s">
        <v>3</v>
      </c>
      <c r="C159">
        <v>551061</v>
      </c>
    </row>
    <row r="160" spans="1:3" x14ac:dyDescent="0.25">
      <c r="A160" s="1" t="s">
        <v>103</v>
      </c>
      <c r="B160" s="1" t="s">
        <v>3</v>
      </c>
      <c r="C160">
        <v>-79707</v>
      </c>
    </row>
    <row r="161" spans="1:3" x14ac:dyDescent="0.25">
      <c r="A161" s="1" t="s">
        <v>102</v>
      </c>
      <c r="B161" s="1" t="s">
        <v>3</v>
      </c>
      <c r="C161">
        <v>-3138807</v>
      </c>
    </row>
    <row r="162" spans="1:3" x14ac:dyDescent="0.25">
      <c r="A162" s="1" t="s">
        <v>96</v>
      </c>
      <c r="B162" s="1" t="s">
        <v>3</v>
      </c>
      <c r="C162">
        <v>2718947</v>
      </c>
    </row>
    <row r="163" spans="1:3" x14ac:dyDescent="0.25">
      <c r="A163" s="1" t="s">
        <v>109</v>
      </c>
      <c r="B163" s="1" t="s">
        <v>3</v>
      </c>
      <c r="C163">
        <v>-85936</v>
      </c>
    </row>
    <row r="164" spans="1:3" x14ac:dyDescent="0.25">
      <c r="A164" s="1" t="s">
        <v>105</v>
      </c>
      <c r="B164" s="1" t="s">
        <v>3</v>
      </c>
      <c r="C164">
        <v>-43623</v>
      </c>
    </row>
    <row r="165" spans="1:3" x14ac:dyDescent="0.25">
      <c r="A165" s="1" t="s">
        <v>106</v>
      </c>
      <c r="B165" s="1" t="s">
        <v>3</v>
      </c>
      <c r="C165">
        <v>-78065</v>
      </c>
    </row>
    <row r="166" spans="1:3" x14ac:dyDescent="0.25">
      <c r="A166" s="1" t="s">
        <v>118</v>
      </c>
      <c r="B166" s="1" t="s">
        <v>3</v>
      </c>
      <c r="C166">
        <v>-2898745</v>
      </c>
    </row>
    <row r="167" spans="1:3" x14ac:dyDescent="0.25">
      <c r="A167" s="1" t="s">
        <v>125</v>
      </c>
      <c r="B167" s="1" t="s">
        <v>3</v>
      </c>
      <c r="C167">
        <v>23692036</v>
      </c>
    </row>
    <row r="168" spans="1:3" x14ac:dyDescent="0.25">
      <c r="A168" s="1" t="s">
        <v>149</v>
      </c>
      <c r="B168" s="1" t="s">
        <v>3</v>
      </c>
      <c r="C168">
        <v>40637077</v>
      </c>
    </row>
    <row r="169" spans="1:3" x14ac:dyDescent="0.25">
      <c r="A169" s="1" t="s">
        <v>146</v>
      </c>
      <c r="B169" s="1" t="s">
        <v>3</v>
      </c>
      <c r="C169">
        <v>1593085</v>
      </c>
    </row>
    <row r="170" spans="1:3" x14ac:dyDescent="0.25">
      <c r="A170" s="1" t="s">
        <v>147</v>
      </c>
      <c r="B170" s="1" t="s">
        <v>3</v>
      </c>
      <c r="C170">
        <v>330492</v>
      </c>
    </row>
    <row r="171" spans="1:3" x14ac:dyDescent="0.25">
      <c r="A171" s="1" t="s">
        <v>145</v>
      </c>
      <c r="B171" s="1" t="s">
        <v>3</v>
      </c>
      <c r="C171">
        <v>-2080699</v>
      </c>
    </row>
    <row r="172" spans="1:3" x14ac:dyDescent="0.25">
      <c r="A172" s="1" t="s">
        <v>162</v>
      </c>
      <c r="B172" s="1" t="s">
        <v>3</v>
      </c>
      <c r="C172">
        <v>-3970229</v>
      </c>
    </row>
    <row r="173" spans="1:3" x14ac:dyDescent="0.25">
      <c r="A173" s="1" t="s">
        <v>169</v>
      </c>
      <c r="B173" s="1" t="s">
        <v>3</v>
      </c>
      <c r="C173">
        <v>36509726</v>
      </c>
    </row>
    <row r="174" spans="1:3" x14ac:dyDescent="0.25">
      <c r="A174" s="1" t="s">
        <v>136</v>
      </c>
      <c r="B174" s="1" t="s">
        <v>3</v>
      </c>
      <c r="C174">
        <v>-294617</v>
      </c>
    </row>
    <row r="175" spans="1:3" x14ac:dyDescent="0.25">
      <c r="A175" s="1" t="s">
        <v>160</v>
      </c>
      <c r="B175" s="1" t="s">
        <v>3</v>
      </c>
      <c r="C175">
        <v>101601</v>
      </c>
    </row>
    <row r="176" spans="1:3" x14ac:dyDescent="0.25">
      <c r="A176" s="1" t="s">
        <v>164</v>
      </c>
      <c r="B176" s="1" t="s">
        <v>3</v>
      </c>
      <c r="C176">
        <v>-4294473</v>
      </c>
    </row>
    <row r="177" spans="1:3" x14ac:dyDescent="0.25">
      <c r="A177" s="1" t="s">
        <v>158</v>
      </c>
      <c r="B177" s="1" t="s">
        <v>3</v>
      </c>
      <c r="C177">
        <v>0</v>
      </c>
    </row>
    <row r="178" spans="1:3" x14ac:dyDescent="0.25">
      <c r="A178" s="1" t="s">
        <v>133</v>
      </c>
      <c r="B178" s="1" t="s">
        <v>3</v>
      </c>
      <c r="C178">
        <v>-17062400</v>
      </c>
    </row>
    <row r="179" spans="1:3" x14ac:dyDescent="0.25">
      <c r="A179" s="1" t="s">
        <v>157</v>
      </c>
      <c r="B179" s="1" t="s">
        <v>3</v>
      </c>
      <c r="C179">
        <v>210213</v>
      </c>
    </row>
    <row r="180" spans="1:3" x14ac:dyDescent="0.25">
      <c r="A180" s="1" t="s">
        <v>141</v>
      </c>
      <c r="B180" s="1" t="s">
        <v>3</v>
      </c>
      <c r="C180">
        <v>-155575</v>
      </c>
    </row>
    <row r="181" spans="1:3" x14ac:dyDescent="0.25">
      <c r="A181" s="1" t="s">
        <v>138</v>
      </c>
      <c r="B181" s="1" t="s">
        <v>3</v>
      </c>
      <c r="C181">
        <v>-685241</v>
      </c>
    </row>
    <row r="182" spans="1:3" x14ac:dyDescent="0.25">
      <c r="A182" s="1" t="s">
        <v>159</v>
      </c>
      <c r="B182" s="1" t="s">
        <v>3</v>
      </c>
      <c r="C182">
        <v>5000</v>
      </c>
    </row>
    <row r="183" spans="1:3" x14ac:dyDescent="0.25">
      <c r="A183" s="1" t="s">
        <v>132</v>
      </c>
      <c r="B183" s="1" t="s">
        <v>3</v>
      </c>
      <c r="C183">
        <v>163652</v>
      </c>
    </row>
    <row r="184" spans="1:3" x14ac:dyDescent="0.25">
      <c r="A184" s="1" t="s">
        <v>127</v>
      </c>
      <c r="B184" s="1" t="s">
        <v>3</v>
      </c>
      <c r="C184">
        <v>172994</v>
      </c>
    </row>
    <row r="185" spans="1:3" x14ac:dyDescent="0.25">
      <c r="A185" s="1" t="s">
        <v>144</v>
      </c>
      <c r="B185" s="1" t="s">
        <v>3</v>
      </c>
      <c r="C185">
        <v>-21838846</v>
      </c>
    </row>
    <row r="186" spans="1:3" x14ac:dyDescent="0.25">
      <c r="A186" s="1" t="s">
        <v>151</v>
      </c>
      <c r="B186" s="1" t="s">
        <v>3</v>
      </c>
      <c r="C186">
        <v>107070363</v>
      </c>
    </row>
    <row r="187" spans="1:3" x14ac:dyDescent="0.25">
      <c r="A187" s="1" t="s">
        <v>152</v>
      </c>
      <c r="B187" s="1" t="s">
        <v>3</v>
      </c>
      <c r="C187">
        <v>-101420737</v>
      </c>
    </row>
    <row r="188" spans="1:3" x14ac:dyDescent="0.25">
      <c r="A188" s="1" t="s">
        <v>142</v>
      </c>
      <c r="B188" s="1" t="s">
        <v>3</v>
      </c>
      <c r="C188">
        <v>74929915</v>
      </c>
    </row>
    <row r="189" spans="1:3" x14ac:dyDescent="0.25">
      <c r="A189" s="1" t="s">
        <v>143</v>
      </c>
      <c r="B189" s="1" t="s">
        <v>3</v>
      </c>
      <c r="C189">
        <v>-70035517</v>
      </c>
    </row>
    <row r="190" spans="1:3" x14ac:dyDescent="0.25">
      <c r="A190" s="1" t="s">
        <v>156</v>
      </c>
      <c r="B190" s="1" t="s">
        <v>3</v>
      </c>
      <c r="C190">
        <v>52582850</v>
      </c>
    </row>
    <row r="191" spans="1:3" x14ac:dyDescent="0.25">
      <c r="A191" s="1" t="s">
        <v>126</v>
      </c>
      <c r="B191" s="1" t="s">
        <v>3</v>
      </c>
      <c r="C191">
        <v>-51033846</v>
      </c>
    </row>
    <row r="192" spans="1:3" x14ac:dyDescent="0.25">
      <c r="A192" s="1" t="s">
        <v>139</v>
      </c>
      <c r="B192" s="1" t="s">
        <v>3</v>
      </c>
      <c r="C192">
        <v>-60506</v>
      </c>
    </row>
    <row r="193" spans="1:3" x14ac:dyDescent="0.25">
      <c r="A193" s="1" t="s">
        <v>140</v>
      </c>
      <c r="B193" s="1" t="s">
        <v>3</v>
      </c>
      <c r="C193">
        <v>0</v>
      </c>
    </row>
    <row r="194" spans="1:3" x14ac:dyDescent="0.25">
      <c r="A194" s="1" t="s">
        <v>153</v>
      </c>
      <c r="B194" s="1" t="s">
        <v>3</v>
      </c>
      <c r="C194">
        <v>-15334668</v>
      </c>
    </row>
    <row r="195" spans="1:3" x14ac:dyDescent="0.25">
      <c r="A195" s="1" t="s">
        <v>129</v>
      </c>
      <c r="B195" s="1" t="s">
        <v>3</v>
      </c>
      <c r="C195">
        <v>162975</v>
      </c>
    </row>
    <row r="196" spans="1:3" x14ac:dyDescent="0.25">
      <c r="A196" s="1" t="s">
        <v>150</v>
      </c>
      <c r="B196" s="1" t="s">
        <v>3</v>
      </c>
      <c r="C196">
        <v>-10671685</v>
      </c>
    </row>
    <row r="197" spans="1:3" x14ac:dyDescent="0.25">
      <c r="A197" s="1" t="s">
        <v>134</v>
      </c>
      <c r="B197" s="1" t="s">
        <v>3</v>
      </c>
      <c r="C197">
        <v>-524254</v>
      </c>
    </row>
    <row r="198" spans="1:3" x14ac:dyDescent="0.25">
      <c r="A198" s="1" t="s">
        <v>163</v>
      </c>
      <c r="B198" s="1" t="s">
        <v>3</v>
      </c>
      <c r="C198">
        <v>-20592</v>
      </c>
    </row>
    <row r="199" spans="1:3" x14ac:dyDescent="0.25">
      <c r="A199" s="1" t="s">
        <v>128</v>
      </c>
      <c r="B199" s="1" t="s">
        <v>3</v>
      </c>
      <c r="C199">
        <v>-118</v>
      </c>
    </row>
    <row r="200" spans="1:3" x14ac:dyDescent="0.25">
      <c r="A200" s="1" t="s">
        <v>154</v>
      </c>
      <c r="B200" s="1" t="s">
        <v>3</v>
      </c>
      <c r="C200">
        <v>-14355820</v>
      </c>
    </row>
    <row r="201" spans="1:3" x14ac:dyDescent="0.25">
      <c r="A201" s="1" t="s">
        <v>165</v>
      </c>
      <c r="B201" s="1" t="s">
        <v>3</v>
      </c>
      <c r="C201">
        <v>-1400638</v>
      </c>
    </row>
    <row r="202" spans="1:3" x14ac:dyDescent="0.25">
      <c r="A202" s="1" t="s">
        <v>168</v>
      </c>
      <c r="B202" s="1" t="s">
        <v>3</v>
      </c>
      <c r="C202">
        <v>-1085578</v>
      </c>
    </row>
    <row r="203" spans="1:3" x14ac:dyDescent="0.25">
      <c r="A203" s="1" t="s">
        <v>166</v>
      </c>
      <c r="B203" s="1" t="s">
        <v>3</v>
      </c>
      <c r="C203">
        <v>51267712</v>
      </c>
    </row>
    <row r="204" spans="1:3" x14ac:dyDescent="0.25">
      <c r="A204" s="1" t="s">
        <v>167</v>
      </c>
      <c r="B204" s="1" t="s">
        <v>3</v>
      </c>
      <c r="C204">
        <v>50182134</v>
      </c>
    </row>
    <row r="205" spans="1:3" x14ac:dyDescent="0.25">
      <c r="A205" s="1" t="s">
        <v>161</v>
      </c>
      <c r="B205" s="1" t="s">
        <v>3</v>
      </c>
      <c r="C205">
        <v>50182134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6E8E7A-D46E-4B9F-B117-C3289BA2C6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1</vt:i4>
      </vt:variant>
    </vt:vector>
  </HeadingPairs>
  <TitlesOfParts>
    <vt:vector size="11" baseType="lpstr">
      <vt:lpstr>綜合損益表</vt:lpstr>
      <vt:lpstr>資產負債表</vt:lpstr>
      <vt:lpstr>現金流量表</vt:lpstr>
      <vt:lpstr>財務比率計算</vt:lpstr>
      <vt:lpstr>財務比率</vt:lpstr>
      <vt:lpstr>YoY 比較</vt:lpstr>
      <vt:lpstr>範例檔案 (6)</vt:lpstr>
      <vt:lpstr>綜合損益表 for sql</vt:lpstr>
      <vt:lpstr>資產負債表 for sql</vt:lpstr>
      <vt:lpstr>現金流量表 for sql</vt:lpstr>
      <vt:lpstr>'範例檔案 (6)'!外部資料_6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PAN</dc:creator>
  <cp:lastModifiedBy>RICK PAN</cp:lastModifiedBy>
  <dcterms:created xsi:type="dcterms:W3CDTF">2026-05-31T06:37:04Z</dcterms:created>
  <dcterms:modified xsi:type="dcterms:W3CDTF">2026-05-31T09:18:44Z</dcterms:modified>
</cp:coreProperties>
</file>